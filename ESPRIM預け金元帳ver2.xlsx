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仕事\書類控え\2024年データ\"/>
    </mc:Choice>
  </mc:AlternateContent>
  <xr:revisionPtr revIDLastSave="0" documentId="13_ncr:1_{89E401D0-116B-411D-AAEA-B1E977F95C39}" xr6:coauthVersionLast="47" xr6:coauthVersionMax="47" xr10:uidLastSave="{00000000-0000-0000-0000-000000000000}"/>
  <bookViews>
    <workbookView xWindow="9510" yWindow="0" windowWidth="9780" windowHeight="11370" activeTab="1" xr2:uid="{15D8A8AA-4943-4BDF-852D-3EDBE8776E42}"/>
  </bookViews>
  <sheets>
    <sheet name="journal_sample" sheetId="2" r:id="rId1"/>
    <sheet name="ESPRIM明細→仕訳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3" l="1"/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AS18" i="3"/>
  <c r="AS68" i="3"/>
  <c r="AS69" i="3"/>
  <c r="AS70" i="3"/>
  <c r="AS71" i="3"/>
  <c r="AS72" i="3"/>
  <c r="AS73" i="3"/>
  <c r="AT68" i="3"/>
  <c r="AT69" i="3"/>
  <c r="AT70" i="3"/>
  <c r="AT71" i="3"/>
  <c r="AT72" i="3"/>
  <c r="AT73" i="3"/>
  <c r="P18" i="3"/>
  <c r="P17" i="3"/>
  <c r="P6" i="3"/>
  <c r="P5" i="3"/>
  <c r="P4" i="3"/>
  <c r="P2" i="3"/>
  <c r="Q2" i="3" s="1"/>
  <c r="P73" i="3"/>
  <c r="P72" i="3"/>
  <c r="AI72" i="3" s="1"/>
  <c r="P71" i="3"/>
  <c r="P70" i="3"/>
  <c r="AI70" i="3" s="1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6" i="3"/>
  <c r="P15" i="3"/>
  <c r="P14" i="3"/>
  <c r="P13" i="3"/>
  <c r="P12" i="3"/>
  <c r="P11" i="3"/>
  <c r="P10" i="3"/>
  <c r="P9" i="3"/>
  <c r="P8" i="3"/>
  <c r="P7" i="3"/>
  <c r="P3" i="3"/>
  <c r="AI73" i="3" l="1"/>
  <c r="AI68" i="3"/>
  <c r="AI69" i="3"/>
  <c r="AI71" i="3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AQ73" i="3"/>
  <c r="AQ72" i="3"/>
  <c r="AQ71" i="3"/>
  <c r="AQ70" i="3"/>
  <c r="AQ69" i="3"/>
  <c r="AQ68" i="3"/>
  <c r="Q17" i="3" l="1"/>
  <c r="AQ18" i="3"/>
  <c r="AI20" i="3"/>
  <c r="AI23" i="3"/>
  <c r="AI24" i="3"/>
  <c r="AI25" i="3"/>
  <c r="AI26" i="3"/>
  <c r="AI27" i="3"/>
  <c r="AI28" i="3"/>
  <c r="AI39" i="3"/>
  <c r="AI40" i="3"/>
  <c r="AI42" i="3"/>
  <c r="AI44" i="3"/>
  <c r="AQ49" i="3"/>
  <c r="AI52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K74" i="3"/>
  <c r="AS54" i="3" s="1"/>
  <c r="AI51" i="3"/>
  <c r="AI41" i="3"/>
  <c r="AI38" i="3"/>
  <c r="AI37" i="3"/>
  <c r="AI35" i="3"/>
  <c r="AQ34" i="3"/>
  <c r="AI22" i="3"/>
  <c r="AI21" i="3"/>
  <c r="AI19" i="3"/>
  <c r="Q18" i="3" l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AQ33" i="3"/>
  <c r="AI29" i="3"/>
  <c r="AI45" i="3"/>
  <c r="AQ50" i="3"/>
  <c r="AI36" i="3"/>
  <c r="AQ48" i="3"/>
  <c r="AQ32" i="3"/>
  <c r="AI43" i="3"/>
  <c r="AI53" i="3"/>
  <c r="AI47" i="3"/>
  <c r="AI46" i="3"/>
  <c r="AI30" i="3"/>
  <c r="AQ47" i="3"/>
  <c r="AI50" i="3"/>
  <c r="AI34" i="3"/>
  <c r="AI18" i="3"/>
  <c r="AQ46" i="3"/>
  <c r="AQ30" i="3"/>
  <c r="AI49" i="3"/>
  <c r="AI33" i="3"/>
  <c r="AQ45" i="3"/>
  <c r="AQ29" i="3"/>
  <c r="AI48" i="3"/>
  <c r="AI32" i="3"/>
  <c r="AQ44" i="3"/>
  <c r="AQ28" i="3"/>
  <c r="AQ43" i="3"/>
  <c r="AQ27" i="3"/>
  <c r="AQ42" i="3"/>
  <c r="AQ26" i="3"/>
  <c r="AQ41" i="3"/>
  <c r="AQ25" i="3"/>
  <c r="AQ40" i="3"/>
  <c r="AQ24" i="3"/>
  <c r="AQ39" i="3"/>
  <c r="AQ23" i="3"/>
  <c r="AQ38" i="3"/>
  <c r="AQ22" i="3"/>
  <c r="AQ53" i="3"/>
  <c r="AQ37" i="3"/>
  <c r="AQ21" i="3"/>
  <c r="AQ52" i="3"/>
  <c r="AQ36" i="3"/>
  <c r="AQ20" i="3"/>
  <c r="AQ51" i="3"/>
  <c r="AQ35" i="3"/>
  <c r="AQ19" i="3"/>
</calcChain>
</file>

<file path=xl/sharedStrings.xml><?xml version="1.0" encoding="utf-8"?>
<sst xmlns="http://schemas.openxmlformats.org/spreadsheetml/2006/main" count="1185" uniqueCount="224">
  <si>
    <t>取引No</t>
  </si>
  <si>
    <t>取引日</t>
  </si>
  <si>
    <t>借方勘定科目</t>
  </si>
  <si>
    <t>借方補助科目</t>
  </si>
  <si>
    <t>借方部門</t>
  </si>
  <si>
    <t>借方取引先</t>
  </si>
  <si>
    <t>借方税区分</t>
  </si>
  <si>
    <t>借方インボイス</t>
  </si>
  <si>
    <t>借方金額(円)</t>
  </si>
  <si>
    <t>借方税額</t>
  </si>
  <si>
    <t>貸方勘定科目</t>
  </si>
  <si>
    <t>貸方補助科目</t>
  </si>
  <si>
    <t>貸方部門</t>
  </si>
  <si>
    <t>貸方取引先</t>
  </si>
  <si>
    <t>貸方税区分</t>
  </si>
  <si>
    <t>貸方インボイス</t>
  </si>
  <si>
    <t>貸方金額(円)</t>
  </si>
  <si>
    <t>貸方税額</t>
  </si>
  <si>
    <t>摘要</t>
  </si>
  <si>
    <t>仕訳メモ</t>
  </si>
  <si>
    <t>タグ</t>
  </si>
  <si>
    <t>MF仕訳タイプ</t>
  </si>
  <si>
    <t>決算整理仕訳</t>
  </si>
  <si>
    <t>作成日時</t>
  </si>
  <si>
    <t>作成者</t>
  </si>
  <si>
    <t>最終更新日時</t>
  </si>
  <si>
    <t>最終更新者</t>
  </si>
  <si>
    <t>現金</t>
  </si>
  <si>
    <t>A部門</t>
  </si>
  <si>
    <t>対象外</t>
  </si>
  <si>
    <t>売上高</t>
  </si>
  <si>
    <t>課税売上 10%</t>
  </si>
  <si>
    <t>現金売上</t>
  </si>
  <si>
    <t>タグA</t>
  </si>
  <si>
    <t>雑収入</t>
  </si>
  <si>
    <t>小口現金</t>
  </si>
  <si>
    <t>B部門</t>
  </si>
  <si>
    <t>普通預金</t>
  </si>
  <si>
    <t>資金移動</t>
  </si>
  <si>
    <t>タグA|タグB</t>
  </si>
  <si>
    <t>仕入高</t>
  </si>
  <si>
    <t>課税仕入 10%</t>
  </si>
  <si>
    <t>現金仕入</t>
  </si>
  <si>
    <t>取引先B</t>
  </si>
  <si>
    <t>80%控除</t>
  </si>
  <si>
    <t>修繕費</t>
  </si>
  <si>
    <t>不明</t>
  </si>
  <si>
    <t>買掛金</t>
  </si>
  <si>
    <t>未実現</t>
  </si>
  <si>
    <t>減価償却費</t>
  </si>
  <si>
    <t>減価償却累計額</t>
  </si>
  <si>
    <t>売掛金</t>
  </si>
  <si>
    <t>取引先A</t>
  </si>
  <si>
    <t>掛売上</t>
  </si>
  <si>
    <t>受取手形</t>
  </si>
  <si>
    <t>No</t>
  </si>
  <si>
    <t>日付</t>
    <rPh sb="0" eb="2">
      <t>ヒヅケ</t>
    </rPh>
    <phoneticPr fontId="18"/>
  </si>
  <si>
    <t>依頼内容</t>
    <rPh sb="0" eb="4">
      <t>イライナイヨウ</t>
    </rPh>
    <phoneticPr fontId="18"/>
  </si>
  <si>
    <t>商品名</t>
    <rPh sb="0" eb="3">
      <t>ショウヒンメイ</t>
    </rPh>
    <phoneticPr fontId="18"/>
  </si>
  <si>
    <t>商品URL</t>
    <rPh sb="0" eb="2">
      <t>ショウヒン</t>
    </rPh>
    <phoneticPr fontId="18"/>
  </si>
  <si>
    <t>単価（元）</t>
    <rPh sb="0" eb="2">
      <t>タンカ</t>
    </rPh>
    <rPh sb="3" eb="4">
      <t>ゲン</t>
    </rPh>
    <phoneticPr fontId="18"/>
  </si>
  <si>
    <t>数量</t>
    <rPh sb="0" eb="2">
      <t>スウリョウ</t>
    </rPh>
    <phoneticPr fontId="18"/>
  </si>
  <si>
    <t>価格（元）</t>
    <rPh sb="0" eb="2">
      <t>カカク</t>
    </rPh>
    <rPh sb="3" eb="4">
      <t>ゲン</t>
    </rPh>
    <phoneticPr fontId="18"/>
  </si>
  <si>
    <t>国内送料</t>
  </si>
  <si>
    <t>入金額（元）</t>
    <rPh sb="0" eb="2">
      <t>ニュウキン</t>
    </rPh>
    <rPh sb="2" eb="3">
      <t>ガク</t>
    </rPh>
    <rPh sb="4" eb="5">
      <t>ゲン</t>
    </rPh>
    <phoneticPr fontId="18"/>
  </si>
  <si>
    <t>残高（元）</t>
  </si>
  <si>
    <t>注意事項</t>
    <rPh sb="0" eb="4">
      <t>チュウイジコウ</t>
    </rPh>
    <phoneticPr fontId="18"/>
  </si>
  <si>
    <t>追跡番号</t>
  </si>
  <si>
    <t>為替レート</t>
  </si>
  <si>
    <t>残高（円）</t>
  </si>
  <si>
    <t>通関ロット</t>
    <rPh sb="0" eb="2">
      <t>ツウカン</t>
    </rPh>
    <phoneticPr fontId="18"/>
  </si>
  <si>
    <t>MF入力</t>
    <rPh sb="2" eb="4">
      <t>ニュウリョク</t>
    </rPh>
    <phoneticPr fontId="18"/>
  </si>
  <si>
    <t>入金</t>
  </si>
  <si>
    <t>元レート</t>
  </si>
  <si>
    <t>サンプル発注</t>
  </si>
  <si>
    <t>IP-24001</t>
    <phoneticPr fontId="18"/>
  </si>
  <si>
    <t>発注書PO-0004食事用スタイ　工場2</t>
  </si>
  <si>
    <t>IP-24001</t>
  </si>
  <si>
    <t>発注書PO-0004食事用スタイ　工場3</t>
  </si>
  <si>
    <t>発注書PO-0004食事用スタイ　工場4</t>
  </si>
  <si>
    <t>発注書PO-0004食事用スタイ　工場6</t>
  </si>
  <si>
    <t>発注書PO-0004食事用スタイ　工場7</t>
  </si>
  <si>
    <t>発注書PO-0004食事用スタイ　工場8</t>
  </si>
  <si>
    <t>発注書PO-0004食事用スタイ　工場9</t>
  </si>
  <si>
    <t>発注書PO-0004食事用スタイ　工場10</t>
  </si>
  <si>
    <t>発注書PO-0004食事用スタイ　工場11</t>
  </si>
  <si>
    <t>国際送料</t>
  </si>
  <si>
    <t>OCS　食事用スタイのサンプル　2023.8.14</t>
  </si>
  <si>
    <t>梱包重さ：1.5kg
テープ代：1*5元=5元
77+2*17+5＝116元</t>
  </si>
  <si>
    <t>本発注</t>
  </si>
  <si>
    <t>発注書PO-0005洗濯タグ500個</t>
  </si>
  <si>
    <t>発注書PO-0006　食事用スタイ　工場1サンプル発注</t>
  </si>
  <si>
    <t>発注書PO-0006　洗濯タグを工場に発送する国内送料</t>
  </si>
  <si>
    <t>発注書PO-0007洗濯タグ500個（pu）</t>
  </si>
  <si>
    <t>発注書PO-0009パッケージ箱　工場1</t>
  </si>
  <si>
    <t>IP-24002</t>
    <phoneticPr fontId="18"/>
  </si>
  <si>
    <t>発注書PO-0009パッケージ箱　工場2</t>
  </si>
  <si>
    <t>発注書PO-0009パッケージ箱　工場3</t>
  </si>
  <si>
    <t>発注書PO-0009パッケージ箱　工場4</t>
  </si>
  <si>
    <t>発注書PO-0009パッケージ箱　工場5</t>
  </si>
  <si>
    <t>発注書PO-0008食事エプロンOEM</t>
  </si>
  <si>
    <t>発注書PO-0008 洗濯タグ（pu）を工場に発送する国内送料</t>
  </si>
  <si>
    <t>3月分発送</t>
  </si>
  <si>
    <t>発注書PO-0011食事エプロン</t>
  </si>
  <si>
    <t>IP-24003</t>
    <phoneticPr fontId="18"/>
  </si>
  <si>
    <t>OCS PO-0008とPO-0009サンプル　合計1箱　2024.4.3</t>
  </si>
  <si>
    <t>梱包重さ：3.5kg
テープ代：1*5元=5元
77+6*17+5=184元</t>
  </si>
  <si>
    <t>IP-24002</t>
  </si>
  <si>
    <t>検品</t>
  </si>
  <si>
    <t>発注書PO-0011食事エプロン検品9ｈ</t>
  </si>
  <si>
    <t>PO-0010 パッケージ箱OEM</t>
  </si>
  <si>
    <t>PO-0011の13個とPO-0010の検品梱包2ｈ</t>
  </si>
  <si>
    <t>IP-24003</t>
  </si>
  <si>
    <t>PO-0011の3個食事エプロン返金</t>
  </si>
  <si>
    <t>PO-0012_発注書_PUお食事エプロン（洗濯タグ取り付け、3DポケットOEM）150個</t>
  </si>
  <si>
    <t>梱包重さ：13.5kg
テープ代：1*5元=5元
ダンボール代：1*10元=10元（50*40*40）
77+26*17+5+10＝534元</t>
  </si>
  <si>
    <t>OCS PO-0011の13個+PO-0010の500個 1箱 2024.6.17</t>
  </si>
  <si>
    <t>梱包重さ：23kg
テープ代：1*5元=5元
19*23+5=442元</t>
  </si>
  <si>
    <t>PO-0013_発注書（ポリウレタン生地用 洗濯タグ2000個）</t>
  </si>
  <si>
    <t>PO-0014_発注書_PUお食事エプロン（洗濯タグ取り付け、3DポケットOEM）6色×50個</t>
  </si>
  <si>
    <t>PO-0012_発注書_PUお食事エプロン（洗濯タグ取り付け、3DポケットOEM）150個 検品17ｈ</t>
  </si>
  <si>
    <t>300個洗濯タグを工場に発送する国内送料（pu）</t>
  </si>
  <si>
    <t>PO-0014_発注書_PUお食事エプロン検品1ｈ</t>
  </si>
  <si>
    <t>PO-0014_発注書_PUお食事エプロン検品9ｈ</t>
  </si>
  <si>
    <t>お食事エプロンの写真6枚</t>
  </si>
  <si>
    <t>PO-0012洗濯タグを工場に発送する国内送料（pu）</t>
  </si>
  <si>
    <t>お食事エプロンの写真6枚　往復国内送料</t>
  </si>
  <si>
    <t>PO-0015お食事エプロン 650個</t>
  </si>
  <si>
    <t>PO-0015_発注書_PUお食事エプロン検品36ｈ</t>
  </si>
  <si>
    <t>PO-0016お食事エプロン 1200個</t>
  </si>
  <si>
    <t>OCS 　大仁皓平さん PO-0012_発注書_PUお食事エプロン144個　2024.8.6</t>
  </si>
  <si>
    <t>梱包重さ：9kg
テープ代：1*5元=5元
ダンボール代：1*9元=9元（50*40*30）
77+17*17+5+9＝380元</t>
  </si>
  <si>
    <t>OCS 大仁皓平さん PO-0014,PO-0012返品分_お食事エプロン 1箱 2024.8.27</t>
  </si>
  <si>
    <t>梱包重さ：14.5kg
テープ代：1*5元=5元
ダンボール代：1*10.6元=10.6元（50*40*45）
77+28*17+5+10.6＝380元</t>
  </si>
  <si>
    <t>PO-0017洗濯タグを2000個</t>
  </si>
  <si>
    <t>PO-0018マザーズバッグのサンプル</t>
  </si>
  <si>
    <t>預け金</t>
    <rPh sb="0" eb="1">
      <t>アズ</t>
    </rPh>
    <rPh sb="2" eb="3">
      <t>キン</t>
    </rPh>
    <phoneticPr fontId="18"/>
  </si>
  <si>
    <t>ESPRIM</t>
  </si>
  <si>
    <t>ESPRIM</t>
    <phoneticPr fontId="18"/>
  </si>
  <si>
    <t>PO-0007</t>
  </si>
  <si>
    <t>PO-0009</t>
  </si>
  <si>
    <t>PO-0008</t>
  </si>
  <si>
    <t>発注ロット</t>
    <rPh sb="0" eb="2">
      <t>ハッチュウ</t>
    </rPh>
    <phoneticPr fontId="18"/>
  </si>
  <si>
    <t>PO-0004</t>
  </si>
  <si>
    <t>PO-0005</t>
  </si>
  <si>
    <t>PO-0006</t>
  </si>
  <si>
    <t>PO-0011</t>
  </si>
  <si>
    <t>PO-0010</t>
  </si>
  <si>
    <t>PO-0012</t>
  </si>
  <si>
    <t>PO-0013</t>
  </si>
  <si>
    <t>PO-0014</t>
  </si>
  <si>
    <t>PO-0015</t>
  </si>
  <si>
    <t>PO-0016</t>
  </si>
  <si>
    <t>PO-0017</t>
  </si>
  <si>
    <t>PO-0018</t>
  </si>
  <si>
    <t>タグ</t>
    <phoneticPr fontId="18"/>
  </si>
  <si>
    <t>商品代金</t>
    <rPh sb="0" eb="4">
      <t>ショウヒンダイキン</t>
    </rPh>
    <phoneticPr fontId="18"/>
  </si>
  <si>
    <t>国際送料</t>
    <rPh sb="0" eb="4">
      <t>コクサイソウリョウ</t>
    </rPh>
    <phoneticPr fontId="18"/>
  </si>
  <si>
    <t>通関後国内経費</t>
    <rPh sb="0" eb="3">
      <t>ツウカンゴ</t>
    </rPh>
    <rPh sb="3" eb="5">
      <t>コクナイ</t>
    </rPh>
    <rPh sb="5" eb="7">
      <t>ケイヒ</t>
    </rPh>
    <phoneticPr fontId="18"/>
  </si>
  <si>
    <t>関税消費税等</t>
    <rPh sb="0" eb="2">
      <t>カンゼイ</t>
    </rPh>
    <rPh sb="2" eb="5">
      <t>ショウヒゼイ</t>
    </rPh>
    <rPh sb="5" eb="6">
      <t>トウ</t>
    </rPh>
    <phoneticPr fontId="18"/>
  </si>
  <si>
    <t>その他輸入諸経費</t>
    <rPh sb="2" eb="3">
      <t>タ</t>
    </rPh>
    <rPh sb="3" eb="5">
      <t>ユニュウ</t>
    </rPh>
    <rPh sb="5" eb="8">
      <t>ショケイヒ</t>
    </rPh>
    <phoneticPr fontId="18"/>
  </si>
  <si>
    <t>商品代金</t>
    <phoneticPr fontId="18"/>
  </si>
  <si>
    <t>勘定科目</t>
    <rPh sb="0" eb="4">
      <t>カンジョウカモク</t>
    </rPh>
    <phoneticPr fontId="18"/>
  </si>
  <si>
    <t>仕入高</t>
    <rPh sb="0" eb="3">
      <t>シイレダカ</t>
    </rPh>
    <phoneticPr fontId="18"/>
  </si>
  <si>
    <t>研究開発費</t>
    <rPh sb="0" eb="5">
      <t>ケンキュウカイハツヒ</t>
    </rPh>
    <phoneticPr fontId="18"/>
  </si>
  <si>
    <t>600000(0元×20.63円/元)</t>
  </si>
  <si>
    <t>発注書PO-0004食事用スタイ　工場1(16.4元×20.63円/元)</t>
  </si>
  <si>
    <t>発注書PO-0004食事用スタイ　工場2(15.8元×20.63円/元)</t>
  </si>
  <si>
    <t>発注書PO-0004食事用スタイ　工場4(17元×20.63円/元)</t>
  </si>
  <si>
    <t>発注書PO-0004食事用スタイ　工場6(16.2元×20.63円/元)</t>
  </si>
  <si>
    <t>発注書PO-0004食事用スタイ　工場7(13.8元×20.63円/元)</t>
  </si>
  <si>
    <t>発注書PO-0004食事用スタイ　工場8(18.6元×20.63円/元)</t>
  </si>
  <si>
    <t>発注書PO-0004食事用スタイ　工場9(34.8元×20.63円/元)</t>
  </si>
  <si>
    <t>発注書PO-0004食事用スタイ　工場10(18.98元×20.63円/元)</t>
  </si>
  <si>
    <t>発注書PO-0004食事用スタイ　工場11(12.8元×20.63円/元)</t>
  </si>
  <si>
    <t>発注書PO-0004食事用スタイ　工場12(18.98元×20.63円/元)</t>
  </si>
  <si>
    <t>OCS　食事用スタイのサンプル　2023.8.14(116元×20.63円/元)</t>
  </si>
  <si>
    <t>発注書PO-0005洗濯タグ500個(125元×20.63円/元)</t>
  </si>
  <si>
    <t>発注書PO-0006　食事用スタイ　工場1サンプル発注(200元×20.63円/元)</t>
  </si>
  <si>
    <t>発注書PO-0006　洗濯タグを工場に発送する国内送料(13元×20.63円/元)</t>
  </si>
  <si>
    <t>作成日</t>
    <rPh sb="0" eb="3">
      <t>サクセイビ</t>
    </rPh>
    <phoneticPr fontId="18"/>
  </si>
  <si>
    <t>発注書PO-0004食事用スタイ　工場3(15.08元×20.63円/元)</t>
    <phoneticPr fontId="18"/>
  </si>
  <si>
    <t>発注書PO-0004食事用スタイ　工場1</t>
  </si>
  <si>
    <t>発注書PO-0004食事用スタイ　工場12</t>
  </si>
  <si>
    <t>OCS PO-0011　PUお食事エプロン　1箱2024.6.4.</t>
  </si>
  <si>
    <t>入金手数料</t>
    <rPh sb="2" eb="5">
      <t>テスウリョウ</t>
    </rPh>
    <phoneticPr fontId="1"/>
  </si>
  <si>
    <t>入金手数料2%</t>
    <rPh sb="0" eb="2">
      <t>ニュウキン</t>
    </rPh>
    <rPh sb="2" eb="5">
      <t>テスウリョウ</t>
    </rPh>
    <phoneticPr fontId="1"/>
  </si>
  <si>
    <t>お食事お食事エプロンPO-0015検品6h</t>
  </si>
  <si>
    <t>OCS 　大仁皓平さん PO-0015_発注書_PUお食事エプロン548個</t>
  </si>
  <si>
    <t>PO-0016_発注書_PUお食事エプロン検品6ｈ</t>
  </si>
  <si>
    <t>PO-0016_発注書_PUお食事エプロン検品19ｈ</t>
  </si>
  <si>
    <t>PO-0016_発注書_PUお食事エプロン検品18ｈ</t>
  </si>
  <si>
    <t>PO-0016_発注書_PUお食事エプロン検品9ｈ</t>
  </si>
  <si>
    <t>PO-0016_発注書_PUお食事エプロン検品1ｈ</t>
  </si>
  <si>
    <t>PUお食事エプロン不良品返品の国内送料</t>
  </si>
  <si>
    <t>OCS PO-0018_発注書_マザーズリュック サンプル 2024.10.23</t>
  </si>
  <si>
    <t>梱包重さ：5kg
テープ代：1*5元=5元
77+9*17+5=235元</t>
  </si>
  <si>
    <t>PO-0019_発注書_PUお食事エプロン　600個</t>
  </si>
  <si>
    <t>PO-0019_発注書 600個洗濯タグを工場に発送する国内送料（pu）</t>
  </si>
  <si>
    <t>DQS　PO-0016_発注書_PUお食事エプロン　合計3箱　2024.11.8</t>
  </si>
  <si>
    <t>梱包重さ：45kg
テープ代：3*5元＝15元
ダンボール代：3*10元=30元（50*40*40）
45*11.5+15+30=562.5元</t>
  </si>
  <si>
    <t>DQS2945757EQ</t>
  </si>
  <si>
    <t>DQS PO-0016_発注書_PUお食事エプロン　合計2箱　2024.11.8</t>
  </si>
  <si>
    <t>梱包重さ：20kg
テープ代：2*5元＝10元
ダンボール代：1*10元=10元（50*40*40）
1*7元=7元（31*31*23）
20*11.5+10+17=257元</t>
  </si>
  <si>
    <t>DQS2945758EQ</t>
  </si>
  <si>
    <t>残高増減（円）</t>
    <rPh sb="0" eb="2">
      <t>ザンダカ</t>
    </rPh>
    <rPh sb="2" eb="4">
      <t>ゾウゲン</t>
    </rPh>
    <rPh sb="5" eb="6">
      <t>エン</t>
    </rPh>
    <phoneticPr fontId="18"/>
  </si>
  <si>
    <t>出金額（元）</t>
    <rPh sb="0" eb="3">
      <t>シュッキンガクゲン2</t>
    </rPh>
    <phoneticPr fontId="18"/>
  </si>
  <si>
    <t>PO-0019</t>
  </si>
  <si>
    <t>借方</t>
  </si>
  <si>
    <t>貸方</t>
  </si>
  <si>
    <t>研究開発費</t>
  </si>
  <si>
    <t>お食事エプロンPU袖なし</t>
    <rPh sb="1" eb="3">
      <t>ショクジ</t>
    </rPh>
    <rPh sb="9" eb="10">
      <t>ソデ</t>
    </rPh>
    <phoneticPr fontId="1"/>
  </si>
  <si>
    <t>副資材</t>
    <rPh sb="0" eb="3">
      <t>フクシザイ</t>
    </rPh>
    <phoneticPr fontId="1"/>
  </si>
  <si>
    <t>サンプル代</t>
    <rPh sb="4" eb="5">
      <t>ダイ</t>
    </rPh>
    <phoneticPr fontId="1"/>
  </si>
  <si>
    <t>雑費</t>
    <rPh sb="0" eb="2">
      <t>ザッピ</t>
    </rPh>
    <phoneticPr fontId="1"/>
  </si>
  <si>
    <t>商品代金</t>
    <rPh sb="0" eb="4">
      <t>ショウヒンダイキン</t>
    </rPh>
    <phoneticPr fontId="1"/>
  </si>
  <si>
    <t>検品梱包費</t>
    <rPh sb="0" eb="2">
      <t>ケンピン</t>
    </rPh>
    <rPh sb="2" eb="5">
      <t>コンポウヒ</t>
    </rPh>
    <phoneticPr fontId="1"/>
  </si>
  <si>
    <t>国際送料</t>
    <rPh sb="0" eb="4">
      <t>コクサイソウリョウ</t>
    </rPh>
    <phoneticPr fontId="1"/>
  </si>
  <si>
    <t>支払手数料</t>
    <rPh sb="0" eb="2">
      <t>シハラ</t>
    </rPh>
    <rPh sb="2" eb="5">
      <t>テスウリョウ</t>
    </rPh>
    <phoneticPr fontId="1"/>
  </si>
  <si>
    <t>マザーズリュック</t>
  </si>
  <si>
    <t>賃借</t>
    <rPh sb="0" eb="2">
      <t>チンシャク</t>
    </rPh>
    <phoneticPr fontId="18"/>
  </si>
  <si>
    <t>勘定科目</t>
    <rPh sb="0" eb="2">
      <t>カンジョウ</t>
    </rPh>
    <rPh sb="2" eb="4">
      <t>カモク</t>
    </rPh>
    <phoneticPr fontId="18"/>
  </si>
  <si>
    <t>補助勘定</t>
    <rPh sb="0" eb="4">
      <t>ホジョカンジョウ</t>
    </rPh>
    <phoneticPr fontId="18"/>
  </si>
  <si>
    <t>品目</t>
    <rPh sb="0" eb="2">
      <t>ヒンモク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</si>
</sst>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5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 wrapText="1"/>
    </xf>
    <xf numFmtId="3" fontId="0" fillId="0" borderId="0" xfId="0" applyNumberFormat="1">
      <alignment vertical="center"/>
    </xf>
    <xf numFmtId="38" fontId="0" fillId="0" borderId="0" xfId="1" applyFont="1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vertical="center" wrapText="1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38" fontId="0" fillId="0" borderId="10" xfId="1" applyFont="1" applyBorder="1">
      <alignment vertical="center"/>
    </xf>
    <xf numFmtId="3" fontId="0" fillId="0" borderId="10" xfId="0" applyNumberFormat="1" applyBorder="1">
      <alignment vertical="center"/>
    </xf>
    <xf numFmtId="49" fontId="0" fillId="0" borderId="10" xfId="0" applyNumberFormat="1" applyBorder="1">
      <alignment vertical="center"/>
    </xf>
    <xf numFmtId="38" fontId="0" fillId="0" borderId="0" xfId="0" applyNumberFormat="1">
      <alignment vertical="center"/>
    </xf>
    <xf numFmtId="0" fontId="0" fillId="0" borderId="1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alignment vertical="center"/>
    </xf>
    <xf numFmtId="176" fontId="0" fillId="0" borderId="0" xfId="1" applyNumberFormat="1" applyFont="1">
      <alignment vertical="center"/>
    </xf>
    <xf numFmtId="176" fontId="0" fillId="0" borderId="10" xfId="1" applyNumberFormat="1" applyFont="1" applyBorder="1">
      <alignment vertical="center"/>
    </xf>
    <xf numFmtId="40" fontId="0" fillId="0" borderId="0" xfId="1" applyNumberFormat="1" applyFont="1">
      <alignment vertical="center"/>
    </xf>
    <xf numFmtId="40" fontId="0" fillId="0" borderId="10" xfId="1" applyNumberFormat="1" applyFont="1" applyBorder="1">
      <alignment vertical="center"/>
    </xf>
    <xf numFmtId="38" fontId="0" fillId="0" borderId="11" xfId="0" applyNumberFormat="1" applyBorder="1">
      <alignment vertical="center"/>
    </xf>
    <xf numFmtId="0" fontId="0" fillId="34" borderId="0" xfId="0" applyFill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4" borderId="0" xfId="0" applyFill="1">
      <alignment vertical="center"/>
    </xf>
    <xf numFmtId="38" fontId="0" fillId="34" borderId="0" xfId="0" applyNumberFormat="1" applyFill="1">
      <alignment vertical="center"/>
    </xf>
    <xf numFmtId="14" fontId="0" fillId="34" borderId="0" xfId="0" applyNumberFormat="1" applyFill="1">
      <alignment vertical="center"/>
    </xf>
    <xf numFmtId="14" fontId="0" fillId="0" borderId="11" xfId="0" applyNumberFormat="1" applyBorder="1">
      <alignment vertical="center"/>
    </xf>
    <xf numFmtId="38" fontId="19" fillId="0" borderId="0" xfId="1" applyFont="1">
      <alignment vertical="center"/>
    </xf>
    <xf numFmtId="38" fontId="20" fillId="0" borderId="0" xfId="1" applyFont="1">
      <alignment vertical="center"/>
    </xf>
    <xf numFmtId="0" fontId="0" fillId="35" borderId="0" xfId="0" applyFill="1">
      <alignment vertical="center"/>
    </xf>
    <xf numFmtId="14" fontId="0" fillId="35" borderId="0" xfId="0" applyNumberFormat="1" applyFill="1">
      <alignment vertical="center"/>
    </xf>
    <xf numFmtId="176" fontId="0" fillId="35" borderId="0" xfId="1" applyNumberFormat="1" applyFont="1" applyFill="1">
      <alignment vertical="center"/>
    </xf>
    <xf numFmtId="3" fontId="0" fillId="35" borderId="0" xfId="0" applyNumberFormat="1" applyFill="1">
      <alignment vertical="center"/>
    </xf>
    <xf numFmtId="3" fontId="0" fillId="35" borderId="0" xfId="0" applyNumberFormat="1" applyFill="1" applyAlignment="1">
      <alignment vertical="center" wrapText="1"/>
    </xf>
    <xf numFmtId="49" fontId="0" fillId="35" borderId="0" xfId="0" applyNumberFormat="1" applyFill="1">
      <alignment vertical="center"/>
    </xf>
    <xf numFmtId="40" fontId="0" fillId="35" borderId="0" xfId="1" applyNumberFormat="1" applyFont="1" applyFill="1">
      <alignment vertical="center"/>
    </xf>
    <xf numFmtId="38" fontId="0" fillId="35" borderId="0" xfId="1" applyFont="1" applyFill="1">
      <alignment vertical="center"/>
    </xf>
    <xf numFmtId="14" fontId="0" fillId="0" borderId="0" xfId="0" applyNumberForma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5" borderId="0" xfId="0" applyFill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38" fontId="19" fillId="35" borderId="0" xfId="1" applyFont="1" applyFill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29"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numFmt numFmtId="3" formatCode="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8" formatCode="#,##0.00;[Red]\-#,##0.00"/>
    </dxf>
    <dxf>
      <numFmt numFmtId="3" formatCode="#,##0"/>
    </dxf>
    <dxf>
      <numFmt numFmtId="30" formatCode="@"/>
      <alignment horizontal="general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6" formatCode="#,##0;[Red]\-#,##0"/>
    </dxf>
    <dxf>
      <numFmt numFmtId="176" formatCode="#,##0.0;[Red]\-#,##0.0"/>
    </dxf>
    <dxf>
      <numFmt numFmtId="0" formatCode="General"/>
    </dxf>
    <dxf>
      <numFmt numFmtId="19" formatCode="yyyy/m/d"/>
    </dxf>
    <dxf>
      <numFmt numFmtId="19" formatCode="yyyy/m/d"/>
    </dxf>
    <dxf>
      <numFmt numFmtId="19" formatCode="yyyy/m/d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19" formatCode="yyyy/m/d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ACF5C-28F3-456C-AF73-37D86CBC7DFD}" name="ESPRIM" displayName="ESPRIM" ref="A1:Y74" totalsRowCount="1" headerRowDxfId="0">
  <autoFilter ref="A1:Y73" xr:uid="{D0FE60BE-046D-4265-B66E-1ABFE1A7A75C}"/>
  <tableColumns count="25">
    <tableColumn id="1" xr3:uid="{9CECE6F3-7909-4A08-B50A-EC3D51588D02}" name="No"/>
    <tableColumn id="2" xr3:uid="{ED4ACD12-35E5-4863-AC64-37C383EB8C17}" name="日付" dataDxfId="19" totalsRowDxfId="18"/>
    <tableColumn id="3" xr3:uid="{C4667CF3-0130-43A9-95B5-FEA3EED79DD1}" name="依頼内容"/>
    <tableColumn id="4" xr3:uid="{CCCFBE85-4E0E-4E9A-AC0B-B8CF01534D91}" name="商品名"/>
    <tableColumn id="16" xr3:uid="{D6C60EEC-8D34-40EE-B27F-26227FC8545F}" name="商品URL"/>
    <tableColumn id="12" xr3:uid="{5AB261AD-BCA8-4E39-B3D4-334854BA5AB1}" name="単価（元）"/>
    <tableColumn id="11" xr3:uid="{3FD4B65B-C23D-4A4A-A9E5-E53DB850E806}" name="数量"/>
    <tableColumn id="20" xr3:uid="{69AA2B7D-B19D-4EE5-B3E4-06FAB2C3CD80}" name="価格（元）" dataDxfId="17"/>
    <tableColumn id="19" xr3:uid="{A522C193-9DE9-4B08-8750-D5F1BB140CE3}" name="国内送料"/>
    <tableColumn id="5" xr3:uid="{F3CA821D-29FB-45A9-A2E6-44A20ECBDE71}" name="入金額（元）"/>
    <tableColumn id="6" xr3:uid="{55C725AD-FEF1-465A-BCC7-4E159B9FB35C}" name="出金額（元）" totalsRowFunction="sum" dataDxfId="16" totalsRowDxfId="15" dataCellStyle="桁区切り"/>
    <tableColumn id="7" xr3:uid="{71C390AB-C909-4DA9-A8B7-8EAE7A3C8DEF}" name="残高（元）" dataDxfId="14" totalsRowDxfId="13"/>
    <tableColumn id="14" xr3:uid="{A798F4D3-0E83-4D38-839E-2D13FF3C8DB8}" name="注意事項" dataDxfId="12" totalsRowDxfId="11"/>
    <tableColumn id="15" xr3:uid="{7AC26F61-56F4-476C-9E1C-51EB27958B8B}" name="追跡番号" dataDxfId="10" totalsRowDxfId="9"/>
    <tableColumn id="8" xr3:uid="{2CAE10AF-C018-4EB0-AE12-1FFF1700E6A9}" name="為替レート" dataDxfId="8" dataCellStyle="桁区切り">
      <calculatedColumnFormula>_xlfn.XLOOKUP(EOMONTH(ESPRIM[[#This Row],[日付]],-1)+1,#REF!,#REF!,0)</calculatedColumnFormula>
    </tableColumn>
    <tableColumn id="9" xr3:uid="{276D460E-C1C1-4659-B3D9-18B5C7F1C391}" name="残高増減（円）" dataDxfId="7" totalsRowDxfId="6" dataCellStyle="桁区切り">
      <calculatedColumnFormula>ROUND((ESPRIM[[#This Row],[入金額（元）]]-ESPRIM[[#This Row],[出金額（元）]])*ESPRIM[[#This Row],[為替レート]],0)</calculatedColumnFormula>
    </tableColumn>
    <tableColumn id="10" xr3:uid="{6ADCEA67-AFC0-4E96-9412-6E64121049EB}" name="残高（円）" dataDxfId="5" totalsRowDxfId="4" dataCellStyle="桁区切り">
      <calculatedColumnFormula>IFERROR(Q1+ESPRIM[[#This Row],[残高増減（円）]],ESPRIM[[#This Row],[残高増減（円）]])</calculatedColumnFormula>
    </tableColumn>
    <tableColumn id="21" xr3:uid="{07538390-02ED-41E7-9056-1C1C7A6A3463}" name="発注ロット" dataDxfId="3" dataCellStyle="桁区切り"/>
    <tableColumn id="22" xr3:uid="{65A9E2A1-CBA0-471D-B1F9-40C9711072FA}" name="通関ロット"/>
    <tableColumn id="13" xr3:uid="{33241E5E-3B25-44F5-880B-87DDEDA63CDD}" name="賃借"/>
    <tableColumn id="17" xr3:uid="{469D3B22-7A60-41A0-AA9C-B6595CD86A52}" name="勘定科目"/>
    <tableColumn id="18" xr3:uid="{5B948309-FF75-4E84-9B1B-E1B0A6C57D51}" name="補助勘定"/>
    <tableColumn id="23" xr3:uid="{C1B9D2AB-17A5-4CF8-A3A2-6AB1A96E62EB}" name="品目"/>
    <tableColumn id="25" xr3:uid="{D80D2A92-CDAE-455D-AC23-F3E4C2DD53F8}" name="摘要" dataDxfId="2">
      <calculatedColumnFormula>$D2&amp;"("&amp;$K2&amp;"元"&amp;"×"&amp;$O2&amp;"円/元)"</calculatedColumnFormula>
    </tableColumn>
    <tableColumn id="24" xr3:uid="{150325D8-2C95-4C61-932D-2E2CD239FAFE}" name="MF入力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3B95E-1E20-4928-9080-BDF8146776F2}" name="テーブル2" displayName="テーブル2" ref="BC1:BC6" totalsRowShown="0" headerRowDxfId="28">
  <autoFilter ref="BC1:BC6" xr:uid="{D993B95E-1E20-4928-9080-BDF8146776F2}"/>
  <tableColumns count="1">
    <tableColumn id="1" xr3:uid="{B2D540E5-D82A-40EA-831C-FA2883CD0694}" name="タ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57645-EEC8-45B8-8967-8B2B782C7B46}" name="テーブル3" displayName="テーブル3" ref="BE1:BE4" totalsRowShown="0" headerRowDxfId="27">
  <autoFilter ref="BE1:BE4" xr:uid="{87D57645-EEC8-45B8-8967-8B2B782C7B46}"/>
  <tableColumns count="1">
    <tableColumn id="1" xr3:uid="{54A9ABA9-890D-4FD0-8026-B116D1F98BE4}" name="勘定科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EC429B-9AAF-4FB3-AD9D-74152D850770}" name="テーブル4" displayName="テーブル4" ref="AA1:BA73" totalsRowShown="0" headerRowDxfId="26">
  <autoFilter ref="AA1:BA73" xr:uid="{3BEC429B-9AAF-4FB3-AD9D-74152D850770}"/>
  <tableColumns count="27">
    <tableColumn id="26" xr3:uid="{181094B8-ABD2-4483-B766-A29923CC916C}" name="MF入力" dataDxfId="25"/>
    <tableColumn id="27" xr3:uid="{99404FB6-4CD9-43DA-AFBB-87EEF92907F7}" name="作成日" dataDxfId="24"/>
    <tableColumn id="1" xr3:uid="{BB79BAE1-65BB-4992-8C41-5898B219FC99}" name="借方勘定科目"/>
    <tableColumn id="2" xr3:uid="{A1B93699-D237-4F6E-8B5B-D4C55706FC0D}" name="借方補助科目"/>
    <tableColumn id="3" xr3:uid="{DD51DD72-B8AE-4110-B675-BCDBE77F8043}" name="借方部門"/>
    <tableColumn id="4" xr3:uid="{50288E4B-7CD4-4515-9270-0FE59779CAE2}" name="借方取引先"/>
    <tableColumn id="5" xr3:uid="{9F2857ED-7B64-4936-B785-94C41C0D0FDE}" name="借方税区分"/>
    <tableColumn id="6" xr3:uid="{15EF3377-1DC0-45BD-94F0-B4F4A7E19BBD}" name="借方インボイス"/>
    <tableColumn id="7" xr3:uid="{C4CFCF49-49F4-4C6D-9ED0-44AC8F774E26}" name="借方金額(円)" dataDxfId="23">
      <calculatedColumnFormula>ESPRIM[[#This Row],[残高増減（円）]]</calculatedColumnFormula>
    </tableColumn>
    <tableColumn id="8" xr3:uid="{2CC828BA-C349-45D4-AC23-2656A1F2FDCA}" name="借方税額"/>
    <tableColumn id="9" xr3:uid="{95F3F55F-7981-411A-BD42-799619BD5110}" name="貸方勘定科目"/>
    <tableColumn id="10" xr3:uid="{66961C87-DC10-4DC3-AC62-15FCDF0B104D}" name="貸方補助科目"/>
    <tableColumn id="11" xr3:uid="{C7E09A82-E844-49AF-81AC-BABB8A345037}" name="貸方部門"/>
    <tableColumn id="12" xr3:uid="{42611DA3-BA57-4E14-9E40-B29331A58DF2}" name="貸方取引先"/>
    <tableColumn id="13" xr3:uid="{AB313FDE-B145-4AC5-87ED-A17A7C2E71EE}" name="貸方税区分"/>
    <tableColumn id="14" xr3:uid="{4E2E320C-CF03-4AE2-89DB-729279B4152F}" name="貸方インボイス"/>
    <tableColumn id="15" xr3:uid="{547125F8-AC32-4605-8673-6FE8239EDCC9}" name="貸方金額(円)" dataDxfId="22">
      <calculatedColumnFormula>ESPRIM[[#This Row],[残高増減（円）]]</calculatedColumnFormula>
    </tableColumn>
    <tableColumn id="16" xr3:uid="{C8744098-F2DE-4F7F-9CD4-5E1B18B78865}" name="貸方税額"/>
    <tableColumn id="17" xr3:uid="{6B04BCB6-E467-475F-B454-CB0E87589969}" name="摘要">
      <calculatedColumnFormula>$D2&amp;"("&amp;$K2&amp;"元"&amp;"×"&amp;$O2&amp;"円/元)"</calculatedColumnFormula>
    </tableColumn>
    <tableColumn id="18" xr3:uid="{0A6A609C-054A-4615-A91F-F32E04AE6673}" name="仕訳メモ" dataDxfId="21">
      <calculatedColumnFormula>$R2</calculatedColumnFormula>
    </tableColumn>
    <tableColumn id="19" xr3:uid="{F37A7236-4146-4E99-B0B2-0DCF19E62571}" name="タグ"/>
    <tableColumn id="20" xr3:uid="{C48A983A-B828-4E14-A2FA-889BBA1F4991}" name="MF仕訳タイプ"/>
    <tableColumn id="21" xr3:uid="{1E51B4D9-B1AF-4E4C-AB08-35FA04E53D49}" name="決算整理仕訳"/>
    <tableColumn id="22" xr3:uid="{645F5EB1-6F6E-463D-BBE3-668A6D2E5B80}" name="作成日時" dataDxfId="20"/>
    <tableColumn id="23" xr3:uid="{05872104-A3A8-40C3-AB37-94C46702F81C}" name="作成者"/>
    <tableColumn id="24" xr3:uid="{B13C0442-3444-4EF4-9CC6-6124A0E08A09}" name="最終更新日時"/>
    <tableColumn id="25" xr3:uid="{3250B385-C166-4AAA-955A-F73009DA4C13}" name="最終更新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ED56-60F6-4118-8686-346B6E3B639E}">
  <dimension ref="A1:AA13"/>
  <sheetViews>
    <sheetView workbookViewId="0">
      <selection activeCell="C15" sqref="C15"/>
    </sheetView>
  </sheetViews>
  <sheetFormatPr defaultRowHeight="18" x14ac:dyDescent="0.55000000000000004"/>
  <cols>
    <col min="2" max="2" width="12.1640625" customWidth="1"/>
    <col min="3" max="3" width="16.9140625" customWidth="1"/>
    <col min="4" max="4" width="15.5" customWidth="1"/>
  </cols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>
        <v>1</v>
      </c>
      <c r="B2" s="1">
        <v>45292</v>
      </c>
      <c r="C2" t="s">
        <v>27</v>
      </c>
      <c r="E2" t="s">
        <v>28</v>
      </c>
      <c r="G2" t="s">
        <v>29</v>
      </c>
      <c r="I2">
        <v>100000</v>
      </c>
      <c r="J2">
        <v>0</v>
      </c>
      <c r="K2" t="s">
        <v>30</v>
      </c>
      <c r="O2" t="s">
        <v>31</v>
      </c>
      <c r="Q2">
        <v>100000</v>
      </c>
      <c r="R2">
        <v>0</v>
      </c>
      <c r="S2" t="s">
        <v>32</v>
      </c>
      <c r="U2" t="s">
        <v>33</v>
      </c>
    </row>
    <row r="3" spans="1:27" x14ac:dyDescent="0.55000000000000004">
      <c r="A3">
        <v>2</v>
      </c>
      <c r="B3" s="1">
        <v>45474</v>
      </c>
      <c r="C3" t="s">
        <v>27</v>
      </c>
      <c r="G3" t="s">
        <v>29</v>
      </c>
      <c r="I3">
        <v>20000</v>
      </c>
      <c r="J3">
        <v>0</v>
      </c>
      <c r="K3" t="s">
        <v>30</v>
      </c>
      <c r="O3" t="s">
        <v>31</v>
      </c>
      <c r="Q3">
        <v>10000</v>
      </c>
      <c r="R3">
        <v>0</v>
      </c>
      <c r="S3" t="s">
        <v>32</v>
      </c>
    </row>
    <row r="4" spans="1:27" x14ac:dyDescent="0.55000000000000004">
      <c r="A4">
        <v>2</v>
      </c>
      <c r="B4" s="1">
        <v>45474</v>
      </c>
      <c r="I4">
        <v>0</v>
      </c>
      <c r="J4">
        <v>0</v>
      </c>
      <c r="K4" t="s">
        <v>34</v>
      </c>
      <c r="O4" t="s">
        <v>31</v>
      </c>
      <c r="Q4">
        <v>5000</v>
      </c>
      <c r="R4">
        <v>0</v>
      </c>
    </row>
    <row r="5" spans="1:27" x14ac:dyDescent="0.55000000000000004">
      <c r="A5">
        <v>2</v>
      </c>
      <c r="B5" s="1">
        <v>45474</v>
      </c>
      <c r="I5">
        <v>0</v>
      </c>
      <c r="J5">
        <v>0</v>
      </c>
      <c r="K5" t="s">
        <v>34</v>
      </c>
      <c r="M5" t="s">
        <v>28</v>
      </c>
      <c r="O5" t="s">
        <v>29</v>
      </c>
      <c r="Q5">
        <v>5000</v>
      </c>
      <c r="R5">
        <v>0</v>
      </c>
    </row>
    <row r="6" spans="1:27" x14ac:dyDescent="0.55000000000000004">
      <c r="A6">
        <v>3</v>
      </c>
      <c r="B6" s="1">
        <v>45475</v>
      </c>
      <c r="C6" t="s">
        <v>27</v>
      </c>
      <c r="D6" t="s">
        <v>35</v>
      </c>
      <c r="E6" t="s">
        <v>36</v>
      </c>
      <c r="G6" t="s">
        <v>29</v>
      </c>
      <c r="I6">
        <v>3000</v>
      </c>
      <c r="J6">
        <v>0</v>
      </c>
      <c r="K6" t="s">
        <v>37</v>
      </c>
      <c r="O6" t="s">
        <v>29</v>
      </c>
      <c r="Q6">
        <v>3000</v>
      </c>
      <c r="R6">
        <v>0</v>
      </c>
      <c r="S6" t="s">
        <v>38</v>
      </c>
      <c r="U6" t="s">
        <v>39</v>
      </c>
    </row>
    <row r="7" spans="1:27" x14ac:dyDescent="0.55000000000000004">
      <c r="A7">
        <v>4</v>
      </c>
      <c r="B7" s="1">
        <v>45475</v>
      </c>
      <c r="C7" t="s">
        <v>40</v>
      </c>
      <c r="G7" t="s">
        <v>41</v>
      </c>
      <c r="I7">
        <v>30000</v>
      </c>
      <c r="J7">
        <v>0</v>
      </c>
      <c r="K7" t="s">
        <v>27</v>
      </c>
      <c r="O7" t="s">
        <v>29</v>
      </c>
      <c r="Q7">
        <v>30000</v>
      </c>
      <c r="R7">
        <v>0</v>
      </c>
      <c r="S7" t="s">
        <v>42</v>
      </c>
    </row>
    <row r="8" spans="1:27" x14ac:dyDescent="0.55000000000000004">
      <c r="A8">
        <v>5</v>
      </c>
      <c r="B8" s="1">
        <v>45475</v>
      </c>
      <c r="C8" t="s">
        <v>40</v>
      </c>
      <c r="F8" t="s">
        <v>43</v>
      </c>
      <c r="G8" t="s">
        <v>41</v>
      </c>
      <c r="H8" t="s">
        <v>44</v>
      </c>
      <c r="I8">
        <v>100000</v>
      </c>
      <c r="J8">
        <v>0</v>
      </c>
      <c r="K8" t="s">
        <v>27</v>
      </c>
      <c r="N8" t="s">
        <v>43</v>
      </c>
      <c r="O8" t="s">
        <v>29</v>
      </c>
      <c r="Q8">
        <v>100000</v>
      </c>
      <c r="R8">
        <v>0</v>
      </c>
      <c r="S8" t="s">
        <v>42</v>
      </c>
    </row>
    <row r="9" spans="1:27" x14ac:dyDescent="0.55000000000000004">
      <c r="A9">
        <v>6</v>
      </c>
      <c r="B9" s="1">
        <v>45475</v>
      </c>
      <c r="C9" t="s">
        <v>45</v>
      </c>
      <c r="G9" t="s">
        <v>46</v>
      </c>
      <c r="I9">
        <v>5000</v>
      </c>
      <c r="J9">
        <v>0</v>
      </c>
      <c r="K9" t="s">
        <v>27</v>
      </c>
      <c r="L9" t="s">
        <v>35</v>
      </c>
      <c r="O9" t="s">
        <v>29</v>
      </c>
      <c r="Q9">
        <v>5000</v>
      </c>
      <c r="R9">
        <v>0</v>
      </c>
    </row>
    <row r="10" spans="1:27" x14ac:dyDescent="0.55000000000000004">
      <c r="A10">
        <v>7</v>
      </c>
      <c r="B10" s="1">
        <v>45475</v>
      </c>
      <c r="C10" t="s">
        <v>40</v>
      </c>
      <c r="G10" t="s">
        <v>41</v>
      </c>
      <c r="H10" t="s">
        <v>44</v>
      </c>
      <c r="I10">
        <v>50000</v>
      </c>
      <c r="J10">
        <v>0</v>
      </c>
      <c r="K10" t="s">
        <v>47</v>
      </c>
      <c r="N10" t="s">
        <v>43</v>
      </c>
      <c r="O10" t="s">
        <v>29</v>
      </c>
      <c r="Q10">
        <v>50000</v>
      </c>
      <c r="R10">
        <v>0</v>
      </c>
      <c r="V10" t="s">
        <v>48</v>
      </c>
    </row>
    <row r="11" spans="1:27" x14ac:dyDescent="0.55000000000000004">
      <c r="A11">
        <v>8</v>
      </c>
      <c r="B11" s="1">
        <v>45657</v>
      </c>
      <c r="C11" t="s">
        <v>49</v>
      </c>
      <c r="G11" t="s">
        <v>29</v>
      </c>
      <c r="I11">
        <v>20000</v>
      </c>
      <c r="J11">
        <v>0</v>
      </c>
      <c r="K11" t="s">
        <v>50</v>
      </c>
      <c r="O11" t="s">
        <v>29</v>
      </c>
      <c r="Q11">
        <v>20000</v>
      </c>
      <c r="R11">
        <v>0</v>
      </c>
      <c r="W11">
        <v>1</v>
      </c>
    </row>
    <row r="12" spans="1:27" x14ac:dyDescent="0.55000000000000004">
      <c r="A12">
        <v>9</v>
      </c>
      <c r="B12" s="1">
        <v>45657</v>
      </c>
      <c r="C12" t="s">
        <v>51</v>
      </c>
      <c r="F12" t="s">
        <v>52</v>
      </c>
      <c r="G12" t="s">
        <v>29</v>
      </c>
      <c r="I12">
        <v>20000</v>
      </c>
      <c r="J12">
        <v>0</v>
      </c>
      <c r="K12" t="s">
        <v>30</v>
      </c>
      <c r="N12" t="s">
        <v>52</v>
      </c>
      <c r="O12" t="s">
        <v>31</v>
      </c>
      <c r="Q12">
        <v>30000</v>
      </c>
      <c r="R12">
        <v>0</v>
      </c>
      <c r="S12" t="s">
        <v>53</v>
      </c>
      <c r="W12">
        <v>1</v>
      </c>
    </row>
    <row r="13" spans="1:27" x14ac:dyDescent="0.55000000000000004">
      <c r="A13">
        <v>9</v>
      </c>
      <c r="B13" s="1">
        <v>45657</v>
      </c>
      <c r="C13" t="s">
        <v>54</v>
      </c>
      <c r="F13" t="s">
        <v>52</v>
      </c>
      <c r="G13" t="s">
        <v>29</v>
      </c>
      <c r="I13">
        <v>10000</v>
      </c>
      <c r="J13">
        <v>0</v>
      </c>
      <c r="Q13">
        <v>0</v>
      </c>
      <c r="R13">
        <v>0</v>
      </c>
      <c r="W13">
        <v>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6FD3-5081-4106-92FF-4FF5B9CEF7B4}">
  <sheetPr>
    <pageSetUpPr fitToPage="1"/>
  </sheetPr>
  <dimension ref="A1:BJ74"/>
  <sheetViews>
    <sheetView tabSelected="1" topLeftCell="P20" zoomScale="85" zoomScaleNormal="85" workbookViewId="0">
      <selection activeCell="Q42" sqref="Q42"/>
    </sheetView>
  </sheetViews>
  <sheetFormatPr defaultRowHeight="18" x14ac:dyDescent="0.55000000000000004"/>
  <cols>
    <col min="1" max="1" width="6" customWidth="1"/>
    <col min="2" max="2" width="13.83203125" customWidth="1"/>
    <col min="3" max="3" width="16.08203125" customWidth="1"/>
    <col min="4" max="4" width="39.75" customWidth="1"/>
    <col min="5" max="5" width="12.9140625" customWidth="1"/>
    <col min="6" max="6" width="8.6640625" customWidth="1"/>
    <col min="7" max="7" width="6.33203125" customWidth="1"/>
    <col min="8" max="8" width="8.9140625" customWidth="1"/>
    <col min="9" max="9" width="7.08203125" customWidth="1"/>
    <col min="10" max="10" width="10.08203125" customWidth="1"/>
    <col min="11" max="11" width="13.5" customWidth="1"/>
    <col min="12" max="12" width="15.33203125" customWidth="1"/>
    <col min="13" max="13" width="13" customWidth="1"/>
    <col min="14" max="14" width="12.75" customWidth="1"/>
    <col min="15" max="15" width="11.75" customWidth="1"/>
    <col min="16" max="16" width="14" customWidth="1"/>
    <col min="17" max="17" width="14.4140625" customWidth="1"/>
    <col min="18" max="18" width="13.08203125" customWidth="1"/>
    <col min="19" max="22" width="12.75" customWidth="1"/>
    <col min="23" max="23" width="27.9140625" customWidth="1"/>
    <col min="24" max="24" width="71.4140625" customWidth="1"/>
    <col min="25" max="25" width="13.75" customWidth="1"/>
    <col min="26" max="26" width="4.25" customWidth="1"/>
    <col min="28" max="28" width="12.75" customWidth="1"/>
    <col min="29" max="29" width="14.25" customWidth="1"/>
    <col min="30" max="34" width="7.4140625" customWidth="1"/>
    <col min="35" max="35" width="8.9140625" customWidth="1"/>
    <col min="36" max="36" width="7.4140625" customWidth="1"/>
    <col min="37" max="37" width="9.25" customWidth="1"/>
    <col min="38" max="42" width="7.4140625" customWidth="1"/>
    <col min="43" max="43" width="9.25" customWidth="1"/>
    <col min="44" max="44" width="7.4140625" customWidth="1"/>
    <col min="45" max="45" width="80.1640625" customWidth="1"/>
    <col min="46" max="46" width="15" customWidth="1"/>
    <col min="47" max="49" width="7.4140625" customWidth="1"/>
    <col min="50" max="50" width="12.5" customWidth="1"/>
    <col min="51" max="53" width="7.4140625" customWidth="1"/>
    <col min="56" max="56" width="16.08203125" customWidth="1"/>
    <col min="58" max="58" width="10.08203125" customWidth="1"/>
  </cols>
  <sheetData>
    <row r="1" spans="1:62" s="2" customFormat="1" ht="42.5" customHeight="1" x14ac:dyDescent="0.55000000000000004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206</v>
      </c>
      <c r="L1" s="2" t="s">
        <v>65</v>
      </c>
      <c r="M1" t="s">
        <v>66</v>
      </c>
      <c r="N1" t="s">
        <v>67</v>
      </c>
      <c r="O1" s="3" t="s">
        <v>68</v>
      </c>
      <c r="P1" s="3" t="s">
        <v>205</v>
      </c>
      <c r="Q1" s="3" t="s">
        <v>69</v>
      </c>
      <c r="R1" s="3" t="s">
        <v>142</v>
      </c>
      <c r="S1" s="3" t="s">
        <v>70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18</v>
      </c>
      <c r="Y1" s="3" t="s">
        <v>71</v>
      </c>
      <c r="AA1" s="2" t="s">
        <v>71</v>
      </c>
      <c r="AB1" s="2" t="s">
        <v>180</v>
      </c>
      <c r="AC1" s="2" t="s">
        <v>2</v>
      </c>
      <c r="AD1" s="2" t="s">
        <v>3</v>
      </c>
      <c r="AE1" s="2" t="s">
        <v>4</v>
      </c>
      <c r="AF1" s="2" t="s">
        <v>5</v>
      </c>
      <c r="AG1" s="2" t="s">
        <v>6</v>
      </c>
      <c r="AH1" s="2" t="s">
        <v>7</v>
      </c>
      <c r="AI1" s="2" t="s">
        <v>8</v>
      </c>
      <c r="AJ1" s="2" t="s">
        <v>9</v>
      </c>
      <c r="AK1" s="2" t="s">
        <v>10</v>
      </c>
      <c r="AL1" s="2" t="s">
        <v>11</v>
      </c>
      <c r="AM1" s="2" t="s">
        <v>12</v>
      </c>
      <c r="AN1" s="2" t="s">
        <v>13</v>
      </c>
      <c r="AO1" s="2" t="s">
        <v>14</v>
      </c>
      <c r="AP1" s="2" t="s">
        <v>15</v>
      </c>
      <c r="AQ1" s="2" t="s">
        <v>16</v>
      </c>
      <c r="AR1" s="2" t="s">
        <v>17</v>
      </c>
      <c r="AS1" s="2" t="s">
        <v>18</v>
      </c>
      <c r="AT1" s="2" t="s">
        <v>19</v>
      </c>
      <c r="AU1" s="2" t="s">
        <v>20</v>
      </c>
      <c r="AV1" s="2" t="s">
        <v>21</v>
      </c>
      <c r="AW1" s="2" t="s">
        <v>22</v>
      </c>
      <c r="AX1" s="2" t="s">
        <v>23</v>
      </c>
      <c r="AY1" s="2" t="s">
        <v>24</v>
      </c>
      <c r="AZ1" s="2" t="s">
        <v>25</v>
      </c>
      <c r="BA1" s="2" t="s">
        <v>26</v>
      </c>
      <c r="BC1" s="2" t="s">
        <v>155</v>
      </c>
      <c r="BE1" s="2" t="s">
        <v>162</v>
      </c>
    </row>
    <row r="2" spans="1:62" ht="18.5" customHeight="1" x14ac:dyDescent="0.55000000000000004">
      <c r="A2">
        <v>1</v>
      </c>
      <c r="B2" s="1">
        <v>45126</v>
      </c>
      <c r="C2" t="s">
        <v>72</v>
      </c>
      <c r="D2" s="4">
        <v>600000</v>
      </c>
      <c r="E2" t="s">
        <v>73</v>
      </c>
      <c r="F2">
        <v>20.63</v>
      </c>
      <c r="G2">
        <v>1</v>
      </c>
      <c r="J2" s="5">
        <v>29083.858458555504</v>
      </c>
      <c r="K2" s="17">
        <v>0</v>
      </c>
      <c r="L2" s="4">
        <v>29083.858458555504</v>
      </c>
      <c r="M2" s="4"/>
      <c r="N2" s="6"/>
      <c r="O2" s="19">
        <v>20.63</v>
      </c>
      <c r="P2" s="27">
        <f>ROUND((ESPRIM[[#This Row],[入金額（元）]]-ESPRIM[[#This Row],[出金額（元）]])*ESPRIM[[#This Row],[為替レート]],0)</f>
        <v>600000</v>
      </c>
      <c r="Q2" s="5">
        <f>IFERROR(Q1+ESPRIM[[#This Row],[残高増減（円）]],ESPRIM[[#This Row],[残高増減（円）]])</f>
        <v>600000</v>
      </c>
      <c r="R2" s="5"/>
      <c r="X2" t="str">
        <f t="shared" ref="X2:X33" si="0">$D2&amp;"("&amp;$K2&amp;"元"&amp;"×"&amp;$O2&amp;"円/元)"</f>
        <v>600000(0元×20.63円/元)</v>
      </c>
      <c r="Y2" s="22" t="b">
        <v>1</v>
      </c>
      <c r="AA2" s="22" t="b">
        <v>0</v>
      </c>
      <c r="AB2" s="25">
        <v>45126</v>
      </c>
      <c r="AC2" s="23"/>
      <c r="AD2" s="23"/>
      <c r="AE2" s="23"/>
      <c r="AF2" s="23"/>
      <c r="AG2" s="23"/>
      <c r="AH2" s="23"/>
      <c r="AI2" s="24">
        <v>-600000</v>
      </c>
      <c r="AJ2" s="23"/>
      <c r="AK2" s="23"/>
      <c r="AL2" s="23"/>
      <c r="AM2" s="23"/>
      <c r="AN2" s="23"/>
      <c r="AO2" s="23"/>
      <c r="AP2" s="23"/>
      <c r="AQ2" s="24">
        <v>-600000</v>
      </c>
      <c r="AR2" s="23"/>
      <c r="AS2" s="23" t="s">
        <v>165</v>
      </c>
      <c r="AT2" s="24">
        <v>0</v>
      </c>
      <c r="AU2" s="23" t="s">
        <v>161</v>
      </c>
      <c r="AV2" s="23"/>
      <c r="AW2" s="23"/>
      <c r="AX2" s="25"/>
      <c r="AY2" s="23"/>
      <c r="AZ2" s="23"/>
      <c r="BA2" s="23"/>
      <c r="BC2" t="s">
        <v>156</v>
      </c>
      <c r="BE2" t="s">
        <v>163</v>
      </c>
      <c r="BG2" t="s">
        <v>208</v>
      </c>
    </row>
    <row r="3" spans="1:62" ht="18.5" customHeight="1" x14ac:dyDescent="0.55000000000000004">
      <c r="A3">
        <v>2</v>
      </c>
      <c r="B3" s="1">
        <v>45140</v>
      </c>
      <c r="C3" t="s">
        <v>74</v>
      </c>
      <c r="D3" t="s">
        <v>182</v>
      </c>
      <c r="F3">
        <v>16.399999999999999</v>
      </c>
      <c r="G3">
        <v>1</v>
      </c>
      <c r="H3">
        <v>16.399999999999999</v>
      </c>
      <c r="K3" s="17">
        <v>16.399999999999999</v>
      </c>
      <c r="L3" s="4">
        <v>29067.458458555502</v>
      </c>
      <c r="M3" s="4"/>
      <c r="N3" s="6"/>
      <c r="O3" s="19">
        <v>20.63</v>
      </c>
      <c r="P3" s="5">
        <f>ROUND((ESPRIM[[#This Row],[入金額（元）]]-ESPRIM[[#This Row],[出金額（元）]])*ESPRIM[[#This Row],[為替レート]],0)</f>
        <v>-338</v>
      </c>
      <c r="Q3" s="5">
        <f>IFERROR(Q2+ESPRIM[[#This Row],[残高増減（円）]],ESPRIM[[#This Row],[残高増減（円）]])</f>
        <v>599662</v>
      </c>
      <c r="R3" s="5" t="s">
        <v>143</v>
      </c>
      <c r="S3" t="s">
        <v>75</v>
      </c>
      <c r="T3" t="s">
        <v>209</v>
      </c>
      <c r="U3" t="s">
        <v>210</v>
      </c>
      <c r="W3" t="s">
        <v>211</v>
      </c>
      <c r="X3" t="str">
        <f t="shared" si="0"/>
        <v>発注書PO-0004食事用スタイ　工場1(16.4元×20.63円/元)</v>
      </c>
      <c r="Y3" s="7" t="b">
        <v>1</v>
      </c>
      <c r="AA3" s="7" t="b">
        <v>1</v>
      </c>
      <c r="AB3" s="1">
        <v>45140</v>
      </c>
      <c r="AC3" t="s">
        <v>210</v>
      </c>
      <c r="AI3" s="14">
        <v>338.33199999999994</v>
      </c>
      <c r="AJ3" t="s">
        <v>29</v>
      </c>
      <c r="AK3" t="s">
        <v>136</v>
      </c>
      <c r="AL3" t="s">
        <v>138</v>
      </c>
      <c r="AQ3" s="14">
        <v>338.33199999999994</v>
      </c>
      <c r="AR3" t="s">
        <v>29</v>
      </c>
      <c r="AS3" t="s">
        <v>166</v>
      </c>
      <c r="AT3" s="14" t="s">
        <v>143</v>
      </c>
      <c r="AX3" s="1"/>
      <c r="BC3" t="s">
        <v>157</v>
      </c>
      <c r="BE3" t="s">
        <v>136</v>
      </c>
      <c r="BG3" t="s">
        <v>209</v>
      </c>
      <c r="BH3" t="s">
        <v>210</v>
      </c>
      <c r="BJ3" t="s">
        <v>211</v>
      </c>
    </row>
    <row r="4" spans="1:62" ht="18.5" customHeight="1" x14ac:dyDescent="0.55000000000000004">
      <c r="A4">
        <v>3</v>
      </c>
      <c r="B4" s="1">
        <v>45140</v>
      </c>
      <c r="C4" t="s">
        <v>74</v>
      </c>
      <c r="D4" t="s">
        <v>76</v>
      </c>
      <c r="F4">
        <v>15.8</v>
      </c>
      <c r="G4">
        <v>1</v>
      </c>
      <c r="H4">
        <v>15.8</v>
      </c>
      <c r="K4" s="17">
        <v>15.8</v>
      </c>
      <c r="L4" s="4">
        <v>29051.658458555503</v>
      </c>
      <c r="M4" s="4"/>
      <c r="N4" s="6"/>
      <c r="O4" s="19">
        <v>20.63</v>
      </c>
      <c r="P4" s="5">
        <f>ROUND((ESPRIM[[#This Row],[入金額（元）]]-ESPRIM[[#This Row],[出金額（元）]])*ESPRIM[[#This Row],[為替レート]],0)</f>
        <v>-326</v>
      </c>
      <c r="Q4" s="5">
        <f>IFERROR(Q3+ESPRIM[[#This Row],[残高増減（円）]],ESPRIM[[#This Row],[残高増減（円）]])</f>
        <v>599336</v>
      </c>
      <c r="R4" s="5" t="s">
        <v>143</v>
      </c>
      <c r="S4" t="s">
        <v>77</v>
      </c>
      <c r="T4" t="s">
        <v>209</v>
      </c>
      <c r="U4" t="s">
        <v>210</v>
      </c>
      <c r="W4" t="s">
        <v>211</v>
      </c>
      <c r="X4" t="str">
        <f t="shared" si="0"/>
        <v>発注書PO-0004食事用スタイ　工場2(15.8元×20.63円/元)</v>
      </c>
      <c r="Y4" s="7" t="b">
        <v>1</v>
      </c>
      <c r="AA4" s="7" t="b">
        <v>1</v>
      </c>
      <c r="AB4" s="1">
        <v>45140</v>
      </c>
      <c r="AC4" t="s">
        <v>210</v>
      </c>
      <c r="AI4" s="14">
        <v>325.95400000000001</v>
      </c>
      <c r="AJ4" t="s">
        <v>29</v>
      </c>
      <c r="AK4" t="s">
        <v>136</v>
      </c>
      <c r="AL4" t="s">
        <v>137</v>
      </c>
      <c r="AQ4" s="14">
        <v>325.95400000000001</v>
      </c>
      <c r="AS4" t="s">
        <v>167</v>
      </c>
      <c r="AT4" s="14" t="s">
        <v>143</v>
      </c>
      <c r="AX4" s="1"/>
      <c r="BC4" t="s">
        <v>158</v>
      </c>
      <c r="BE4" t="s">
        <v>164</v>
      </c>
      <c r="BG4" t="s">
        <v>209</v>
      </c>
      <c r="BH4" t="s">
        <v>210</v>
      </c>
      <c r="BJ4" t="s">
        <v>211</v>
      </c>
    </row>
    <row r="5" spans="1:62" ht="18.5" customHeight="1" x14ac:dyDescent="0.55000000000000004">
      <c r="A5">
        <v>4</v>
      </c>
      <c r="B5" s="1">
        <v>45140</v>
      </c>
      <c r="C5" t="s">
        <v>74</v>
      </c>
      <c r="D5" t="s">
        <v>78</v>
      </c>
      <c r="F5">
        <v>15.08</v>
      </c>
      <c r="G5">
        <v>1</v>
      </c>
      <c r="H5">
        <v>15.08</v>
      </c>
      <c r="K5" s="17">
        <v>15.08</v>
      </c>
      <c r="L5" s="4">
        <v>29036.578458555501</v>
      </c>
      <c r="M5" s="4"/>
      <c r="N5" s="6"/>
      <c r="O5" s="19">
        <v>20.63</v>
      </c>
      <c r="P5" s="5">
        <f>ROUND((ESPRIM[[#This Row],[入金額（元）]]-ESPRIM[[#This Row],[出金額（元）]])*ESPRIM[[#This Row],[為替レート]],0)</f>
        <v>-311</v>
      </c>
      <c r="Q5" s="5">
        <f>IFERROR(Q4+ESPRIM[[#This Row],[残高増減（円）]],ESPRIM[[#This Row],[残高増減（円）]])</f>
        <v>599025</v>
      </c>
      <c r="R5" s="5" t="s">
        <v>143</v>
      </c>
      <c r="S5" t="s">
        <v>77</v>
      </c>
      <c r="T5" t="s">
        <v>209</v>
      </c>
      <c r="U5" t="s">
        <v>210</v>
      </c>
      <c r="W5" t="s">
        <v>211</v>
      </c>
      <c r="X5" t="str">
        <f t="shared" si="0"/>
        <v>発注書PO-0004食事用スタイ　工場3(15.08元×20.63円/元)</v>
      </c>
      <c r="Y5" s="7" t="b">
        <v>1</v>
      </c>
      <c r="AA5" s="7" t="b">
        <v>1</v>
      </c>
      <c r="AB5" s="1">
        <v>45140</v>
      </c>
      <c r="AC5" t="s">
        <v>210</v>
      </c>
      <c r="AI5" s="14">
        <v>311.10039999999998</v>
      </c>
      <c r="AJ5" t="s">
        <v>29</v>
      </c>
      <c r="AK5" t="s">
        <v>136</v>
      </c>
      <c r="AL5" t="s">
        <v>137</v>
      </c>
      <c r="AQ5" s="14">
        <v>311.10039999999998</v>
      </c>
      <c r="AS5" t="s">
        <v>181</v>
      </c>
      <c r="AT5" s="14" t="s">
        <v>143</v>
      </c>
      <c r="AX5" s="1"/>
      <c r="BC5" t="s">
        <v>159</v>
      </c>
      <c r="BG5" t="s">
        <v>209</v>
      </c>
      <c r="BH5" t="s">
        <v>210</v>
      </c>
      <c r="BJ5" t="s">
        <v>211</v>
      </c>
    </row>
    <row r="6" spans="1:62" ht="18.5" customHeight="1" x14ac:dyDescent="0.55000000000000004">
      <c r="A6">
        <v>5</v>
      </c>
      <c r="B6" s="1">
        <v>45145</v>
      </c>
      <c r="C6" t="s">
        <v>74</v>
      </c>
      <c r="D6" t="s">
        <v>79</v>
      </c>
      <c r="F6">
        <v>17</v>
      </c>
      <c r="G6">
        <v>1</v>
      </c>
      <c r="H6">
        <v>17</v>
      </c>
      <c r="K6" s="17">
        <v>17</v>
      </c>
      <c r="L6" s="4">
        <v>29019.578458555501</v>
      </c>
      <c r="M6" s="4"/>
      <c r="N6" s="6"/>
      <c r="O6" s="19">
        <v>20.63</v>
      </c>
      <c r="P6" s="5">
        <f>ROUND((ESPRIM[[#This Row],[入金額（元）]]-ESPRIM[[#This Row],[出金額（元）]])*ESPRIM[[#This Row],[為替レート]],0)</f>
        <v>-351</v>
      </c>
      <c r="Q6" s="5">
        <f>IFERROR(Q5+ESPRIM[[#This Row],[残高増減（円）]],ESPRIM[[#This Row],[残高増減（円）]])</f>
        <v>598674</v>
      </c>
      <c r="R6" s="5" t="s">
        <v>143</v>
      </c>
      <c r="S6" t="s">
        <v>77</v>
      </c>
      <c r="T6" t="s">
        <v>209</v>
      </c>
      <c r="U6" t="s">
        <v>210</v>
      </c>
      <c r="W6" t="s">
        <v>211</v>
      </c>
      <c r="X6" t="str">
        <f t="shared" si="0"/>
        <v>発注書PO-0004食事用スタイ　工場4(17元×20.63円/元)</v>
      </c>
      <c r="Y6" s="7" t="b">
        <v>1</v>
      </c>
      <c r="AA6" s="7" t="b">
        <v>1</v>
      </c>
      <c r="AB6" s="1">
        <v>45140</v>
      </c>
      <c r="AC6" t="s">
        <v>210</v>
      </c>
      <c r="AI6" s="14">
        <v>350.71</v>
      </c>
      <c r="AJ6" t="s">
        <v>29</v>
      </c>
      <c r="AK6" t="s">
        <v>136</v>
      </c>
      <c r="AL6" t="s">
        <v>137</v>
      </c>
      <c r="AQ6" s="14">
        <v>350.71</v>
      </c>
      <c r="AS6" t="s">
        <v>168</v>
      </c>
      <c r="AT6" s="14" t="s">
        <v>143</v>
      </c>
      <c r="AX6" s="1"/>
      <c r="BC6" t="s">
        <v>160</v>
      </c>
      <c r="BG6" t="s">
        <v>209</v>
      </c>
      <c r="BH6" t="s">
        <v>210</v>
      </c>
      <c r="BJ6" t="s">
        <v>211</v>
      </c>
    </row>
    <row r="7" spans="1:62" ht="18.5" customHeight="1" x14ac:dyDescent="0.55000000000000004">
      <c r="A7">
        <v>6</v>
      </c>
      <c r="B7" s="1">
        <v>45140</v>
      </c>
      <c r="C7" t="s">
        <v>74</v>
      </c>
      <c r="D7" t="s">
        <v>80</v>
      </c>
      <c r="F7">
        <v>16.2</v>
      </c>
      <c r="G7">
        <v>1</v>
      </c>
      <c r="H7">
        <v>16.2</v>
      </c>
      <c r="K7" s="17">
        <v>16.2</v>
      </c>
      <c r="L7" s="4">
        <v>29003.3784585555</v>
      </c>
      <c r="M7" s="4"/>
      <c r="N7" s="6"/>
      <c r="O7" s="19">
        <v>20.63</v>
      </c>
      <c r="P7" s="5">
        <f>ROUND((ESPRIM[[#This Row],[入金額（元）]]-ESPRIM[[#This Row],[出金額（元）]])*ESPRIM[[#This Row],[為替レート]],0)</f>
        <v>-334</v>
      </c>
      <c r="Q7" s="5">
        <f>IFERROR(Q6+ESPRIM[[#This Row],[残高増減（円）]],ESPRIM[[#This Row],[残高増減（円）]])</f>
        <v>598340</v>
      </c>
      <c r="R7" s="5" t="s">
        <v>143</v>
      </c>
      <c r="S7" t="s">
        <v>77</v>
      </c>
      <c r="T7" t="s">
        <v>209</v>
      </c>
      <c r="U7" t="s">
        <v>210</v>
      </c>
      <c r="W7" t="s">
        <v>211</v>
      </c>
      <c r="X7" t="str">
        <f t="shared" si="0"/>
        <v>発注書PO-0004食事用スタイ　工場6(16.2元×20.63円/元)</v>
      </c>
      <c r="Y7" s="7" t="b">
        <v>1</v>
      </c>
      <c r="AA7" s="7" t="b">
        <v>1</v>
      </c>
      <c r="AB7" s="1">
        <v>45140</v>
      </c>
      <c r="AC7" t="s">
        <v>210</v>
      </c>
      <c r="AI7" s="14">
        <v>334.20599999999996</v>
      </c>
      <c r="AJ7" t="s">
        <v>29</v>
      </c>
      <c r="AK7" t="s">
        <v>136</v>
      </c>
      <c r="AL7" t="s">
        <v>137</v>
      </c>
      <c r="AQ7" s="14">
        <v>334.20599999999996</v>
      </c>
      <c r="AS7" t="s">
        <v>169</v>
      </c>
      <c r="AT7" s="14" t="s">
        <v>143</v>
      </c>
      <c r="AX7" s="1"/>
      <c r="BG7" t="s">
        <v>209</v>
      </c>
      <c r="BH7" t="s">
        <v>210</v>
      </c>
      <c r="BJ7" t="s">
        <v>211</v>
      </c>
    </row>
    <row r="8" spans="1:62" ht="18.5" customHeight="1" x14ac:dyDescent="0.55000000000000004">
      <c r="A8">
        <v>7</v>
      </c>
      <c r="B8" s="1">
        <v>45140</v>
      </c>
      <c r="C8" t="s">
        <v>74</v>
      </c>
      <c r="D8" t="s">
        <v>81</v>
      </c>
      <c r="F8">
        <v>13.8</v>
      </c>
      <c r="G8">
        <v>1</v>
      </c>
      <c r="H8">
        <v>13.8</v>
      </c>
      <c r="K8" s="17">
        <v>13.8</v>
      </c>
      <c r="L8" s="4">
        <v>28989.578458555501</v>
      </c>
      <c r="M8" s="4"/>
      <c r="N8" s="6"/>
      <c r="O8" s="19">
        <v>20.63</v>
      </c>
      <c r="P8" s="5">
        <f>ROUND((ESPRIM[[#This Row],[入金額（元）]]-ESPRIM[[#This Row],[出金額（元）]])*ESPRIM[[#This Row],[為替レート]],0)</f>
        <v>-285</v>
      </c>
      <c r="Q8" s="5">
        <f>IFERROR(Q7+ESPRIM[[#This Row],[残高増減（円）]],ESPRIM[[#This Row],[残高増減（円）]])</f>
        <v>598055</v>
      </c>
      <c r="R8" s="5" t="s">
        <v>143</v>
      </c>
      <c r="S8" t="s">
        <v>77</v>
      </c>
      <c r="T8" t="s">
        <v>209</v>
      </c>
      <c r="U8" t="s">
        <v>210</v>
      </c>
      <c r="W8" t="s">
        <v>211</v>
      </c>
      <c r="X8" t="str">
        <f t="shared" si="0"/>
        <v>発注書PO-0004食事用スタイ　工場7(13.8元×20.63円/元)</v>
      </c>
      <c r="Y8" s="7" t="b">
        <v>1</v>
      </c>
      <c r="AA8" s="7" t="b">
        <v>1</v>
      </c>
      <c r="AB8" s="1">
        <v>45140</v>
      </c>
      <c r="AC8" t="s">
        <v>210</v>
      </c>
      <c r="AI8" s="14">
        <v>284.69400000000002</v>
      </c>
      <c r="AJ8" t="s">
        <v>29</v>
      </c>
      <c r="AK8" t="s">
        <v>136</v>
      </c>
      <c r="AL8" t="s">
        <v>137</v>
      </c>
      <c r="AQ8" s="14">
        <v>284.69400000000002</v>
      </c>
      <c r="AS8" t="s">
        <v>170</v>
      </c>
      <c r="AT8" s="14" t="s">
        <v>143</v>
      </c>
      <c r="AX8" s="1"/>
      <c r="BG8" t="s">
        <v>209</v>
      </c>
      <c r="BH8" t="s">
        <v>210</v>
      </c>
      <c r="BJ8" t="s">
        <v>211</v>
      </c>
    </row>
    <row r="9" spans="1:62" ht="18.5" customHeight="1" x14ac:dyDescent="0.55000000000000004">
      <c r="A9">
        <v>8</v>
      </c>
      <c r="B9" s="1">
        <v>45140</v>
      </c>
      <c r="C9" t="s">
        <v>74</v>
      </c>
      <c r="D9" t="s">
        <v>82</v>
      </c>
      <c r="F9">
        <v>18.600000000000001</v>
      </c>
      <c r="G9">
        <v>1</v>
      </c>
      <c r="H9">
        <v>18.600000000000001</v>
      </c>
      <c r="K9" s="17">
        <v>18.600000000000001</v>
      </c>
      <c r="L9" s="4">
        <v>28970.978458555503</v>
      </c>
      <c r="M9" s="4"/>
      <c r="N9" s="6"/>
      <c r="O9" s="19">
        <v>20.63</v>
      </c>
      <c r="P9" s="5">
        <f>ROUND((ESPRIM[[#This Row],[入金額（元）]]-ESPRIM[[#This Row],[出金額（元）]])*ESPRIM[[#This Row],[為替レート]],0)</f>
        <v>-384</v>
      </c>
      <c r="Q9" s="5">
        <f>IFERROR(Q8+ESPRIM[[#This Row],[残高増減（円）]],ESPRIM[[#This Row],[残高増減（円）]])</f>
        <v>597671</v>
      </c>
      <c r="R9" s="5" t="s">
        <v>143</v>
      </c>
      <c r="S9" t="s">
        <v>77</v>
      </c>
      <c r="T9" t="s">
        <v>209</v>
      </c>
      <c r="U9" t="s">
        <v>210</v>
      </c>
      <c r="W9" t="s">
        <v>211</v>
      </c>
      <c r="X9" t="str">
        <f t="shared" si="0"/>
        <v>発注書PO-0004食事用スタイ　工場8(18.6元×20.63円/元)</v>
      </c>
      <c r="Y9" s="7" t="b">
        <v>1</v>
      </c>
      <c r="AA9" s="7" t="b">
        <v>1</v>
      </c>
      <c r="AB9" s="1">
        <v>45140</v>
      </c>
      <c r="AC9" t="s">
        <v>210</v>
      </c>
      <c r="AI9" s="14">
        <v>383.71800000000002</v>
      </c>
      <c r="AJ9" t="s">
        <v>29</v>
      </c>
      <c r="AK9" t="s">
        <v>136</v>
      </c>
      <c r="AL9" t="s">
        <v>137</v>
      </c>
      <c r="AQ9" s="14">
        <v>383.71800000000002</v>
      </c>
      <c r="AS9" t="s">
        <v>171</v>
      </c>
      <c r="AT9" s="14" t="s">
        <v>143</v>
      </c>
      <c r="AX9" s="1"/>
      <c r="BG9" t="s">
        <v>209</v>
      </c>
      <c r="BH9" t="s">
        <v>210</v>
      </c>
      <c r="BJ9" t="s">
        <v>211</v>
      </c>
    </row>
    <row r="10" spans="1:62" ht="18.5" customHeight="1" x14ac:dyDescent="0.55000000000000004">
      <c r="A10">
        <v>9</v>
      </c>
      <c r="B10" s="1">
        <v>45140</v>
      </c>
      <c r="C10" t="s">
        <v>74</v>
      </c>
      <c r="D10" t="s">
        <v>83</v>
      </c>
      <c r="F10">
        <v>34.799999999999997</v>
      </c>
      <c r="G10">
        <v>1</v>
      </c>
      <c r="H10">
        <v>34.799999999999997</v>
      </c>
      <c r="K10" s="17">
        <v>34.799999999999997</v>
      </c>
      <c r="L10" s="4">
        <v>28936.178458555503</v>
      </c>
      <c r="M10" s="4"/>
      <c r="N10" s="6"/>
      <c r="O10" s="19">
        <v>20.63</v>
      </c>
      <c r="P10" s="5">
        <f>ROUND((ESPRIM[[#This Row],[入金額（元）]]-ESPRIM[[#This Row],[出金額（元）]])*ESPRIM[[#This Row],[為替レート]],0)</f>
        <v>-718</v>
      </c>
      <c r="Q10" s="5">
        <f>IFERROR(Q9+ESPRIM[[#This Row],[残高増減（円）]],ESPRIM[[#This Row],[残高増減（円）]])</f>
        <v>596953</v>
      </c>
      <c r="R10" s="5" t="s">
        <v>143</v>
      </c>
      <c r="S10" t="s">
        <v>77</v>
      </c>
      <c r="T10" t="s">
        <v>209</v>
      </c>
      <c r="U10" t="s">
        <v>210</v>
      </c>
      <c r="W10" t="s">
        <v>211</v>
      </c>
      <c r="X10" t="str">
        <f t="shared" si="0"/>
        <v>発注書PO-0004食事用スタイ　工場9(34.8元×20.63円/元)</v>
      </c>
      <c r="Y10" s="7" t="b">
        <v>1</v>
      </c>
      <c r="AA10" s="7" t="b">
        <v>1</v>
      </c>
      <c r="AB10" s="1">
        <v>45140</v>
      </c>
      <c r="AC10" t="s">
        <v>210</v>
      </c>
      <c r="AI10" s="14">
        <v>717.92399999999986</v>
      </c>
      <c r="AJ10" t="s">
        <v>29</v>
      </c>
      <c r="AK10" t="s">
        <v>136</v>
      </c>
      <c r="AL10" t="s">
        <v>137</v>
      </c>
      <c r="AQ10" s="14">
        <v>717.92399999999986</v>
      </c>
      <c r="AS10" t="s">
        <v>172</v>
      </c>
      <c r="AT10" s="14" t="s">
        <v>143</v>
      </c>
      <c r="AX10" s="1"/>
      <c r="BG10" t="s">
        <v>209</v>
      </c>
      <c r="BH10" t="s">
        <v>210</v>
      </c>
      <c r="BJ10" t="s">
        <v>211</v>
      </c>
    </row>
    <row r="11" spans="1:62" ht="18.5" customHeight="1" x14ac:dyDescent="0.55000000000000004">
      <c r="A11">
        <v>10</v>
      </c>
      <c r="B11" s="1">
        <v>45140</v>
      </c>
      <c r="C11" t="s">
        <v>74</v>
      </c>
      <c r="D11" t="s">
        <v>84</v>
      </c>
      <c r="F11">
        <v>18.98</v>
      </c>
      <c r="G11">
        <v>1</v>
      </c>
      <c r="H11">
        <v>18.98</v>
      </c>
      <c r="K11" s="17">
        <v>18.98</v>
      </c>
      <c r="L11" s="4">
        <v>28917.198458555504</v>
      </c>
      <c r="M11" s="4"/>
      <c r="N11" s="6"/>
      <c r="O11" s="19">
        <v>20.63</v>
      </c>
      <c r="P11" s="5">
        <f>ROUND((ESPRIM[[#This Row],[入金額（元）]]-ESPRIM[[#This Row],[出金額（元）]])*ESPRIM[[#This Row],[為替レート]],0)</f>
        <v>-392</v>
      </c>
      <c r="Q11" s="5">
        <f>IFERROR(Q10+ESPRIM[[#This Row],[残高増減（円）]],ESPRIM[[#This Row],[残高増減（円）]])</f>
        <v>596561</v>
      </c>
      <c r="R11" s="5" t="s">
        <v>143</v>
      </c>
      <c r="S11" t="s">
        <v>77</v>
      </c>
      <c r="T11" t="s">
        <v>209</v>
      </c>
      <c r="U11" t="s">
        <v>210</v>
      </c>
      <c r="W11" t="s">
        <v>211</v>
      </c>
      <c r="X11" t="str">
        <f t="shared" si="0"/>
        <v>発注書PO-0004食事用スタイ　工場10(18.98元×20.63円/元)</v>
      </c>
      <c r="Y11" s="7" t="b">
        <v>1</v>
      </c>
      <c r="AA11" s="7" t="b">
        <v>1</v>
      </c>
      <c r="AB11" s="1">
        <v>45140</v>
      </c>
      <c r="AC11" t="s">
        <v>210</v>
      </c>
      <c r="AI11" s="14">
        <v>391.55739999999997</v>
      </c>
      <c r="AJ11" t="s">
        <v>29</v>
      </c>
      <c r="AK11" t="s">
        <v>136</v>
      </c>
      <c r="AL11" t="s">
        <v>137</v>
      </c>
      <c r="AQ11" s="14">
        <v>391.55739999999997</v>
      </c>
      <c r="AS11" t="s">
        <v>173</v>
      </c>
      <c r="AT11" s="14" t="s">
        <v>143</v>
      </c>
      <c r="AX11" s="1"/>
      <c r="BG11" t="s">
        <v>209</v>
      </c>
      <c r="BH11" t="s">
        <v>210</v>
      </c>
      <c r="BJ11" t="s">
        <v>211</v>
      </c>
    </row>
    <row r="12" spans="1:62" ht="18.5" customHeight="1" x14ac:dyDescent="0.55000000000000004">
      <c r="A12">
        <v>11</v>
      </c>
      <c r="B12" s="1">
        <v>45140</v>
      </c>
      <c r="C12" t="s">
        <v>74</v>
      </c>
      <c r="D12" t="s">
        <v>85</v>
      </c>
      <c r="F12">
        <v>12.8</v>
      </c>
      <c r="G12">
        <v>1</v>
      </c>
      <c r="H12">
        <v>12.8</v>
      </c>
      <c r="K12" s="17">
        <v>12.8</v>
      </c>
      <c r="L12" s="4">
        <v>28904.398458555504</v>
      </c>
      <c r="M12" s="4"/>
      <c r="N12" s="6"/>
      <c r="O12" s="19">
        <v>20.63</v>
      </c>
      <c r="P12" s="5">
        <f>ROUND((ESPRIM[[#This Row],[入金額（元）]]-ESPRIM[[#This Row],[出金額（元）]])*ESPRIM[[#This Row],[為替レート]],0)</f>
        <v>-264</v>
      </c>
      <c r="Q12" s="5">
        <f>IFERROR(Q11+ESPRIM[[#This Row],[残高増減（円）]],ESPRIM[[#This Row],[残高増減（円）]])</f>
        <v>596297</v>
      </c>
      <c r="R12" s="5" t="s">
        <v>143</v>
      </c>
      <c r="S12" t="s">
        <v>77</v>
      </c>
      <c r="T12" t="s">
        <v>209</v>
      </c>
      <c r="U12" t="s">
        <v>210</v>
      </c>
      <c r="W12" t="s">
        <v>211</v>
      </c>
      <c r="X12" t="str">
        <f t="shared" si="0"/>
        <v>発注書PO-0004食事用スタイ　工場11(12.8元×20.63円/元)</v>
      </c>
      <c r="Y12" s="7" t="b">
        <v>1</v>
      </c>
      <c r="AA12" s="7" t="b">
        <v>1</v>
      </c>
      <c r="AB12" s="1">
        <v>45140</v>
      </c>
      <c r="AC12" t="s">
        <v>210</v>
      </c>
      <c r="AI12" s="14">
        <v>264.06400000000002</v>
      </c>
      <c r="AJ12" t="s">
        <v>29</v>
      </c>
      <c r="AK12" t="s">
        <v>136</v>
      </c>
      <c r="AL12" t="s">
        <v>137</v>
      </c>
      <c r="AQ12" s="14">
        <v>264.06400000000002</v>
      </c>
      <c r="AS12" t="s">
        <v>174</v>
      </c>
      <c r="AT12" s="14" t="s">
        <v>143</v>
      </c>
      <c r="AX12" s="1"/>
      <c r="BG12" t="s">
        <v>209</v>
      </c>
      <c r="BH12" t="s">
        <v>210</v>
      </c>
      <c r="BJ12" t="s">
        <v>211</v>
      </c>
    </row>
    <row r="13" spans="1:62" ht="18.5" customHeight="1" x14ac:dyDescent="0.55000000000000004">
      <c r="A13">
        <v>12</v>
      </c>
      <c r="B13" s="1">
        <v>45140</v>
      </c>
      <c r="C13" t="s">
        <v>74</v>
      </c>
      <c r="D13" t="s">
        <v>183</v>
      </c>
      <c r="F13">
        <v>18.98</v>
      </c>
      <c r="G13">
        <v>1</v>
      </c>
      <c r="H13">
        <v>18.98</v>
      </c>
      <c r="K13" s="17">
        <v>18.98</v>
      </c>
      <c r="L13" s="4">
        <v>28885.418458555505</v>
      </c>
      <c r="M13" s="4"/>
      <c r="N13" s="6"/>
      <c r="O13" s="19">
        <v>20.63</v>
      </c>
      <c r="P13" s="5">
        <f>ROUND((ESPRIM[[#This Row],[入金額（元）]]-ESPRIM[[#This Row],[出金額（元）]])*ESPRIM[[#This Row],[為替レート]],0)</f>
        <v>-392</v>
      </c>
      <c r="Q13" s="5">
        <f>IFERROR(Q12+ESPRIM[[#This Row],[残高増減（円）]],ESPRIM[[#This Row],[残高増減（円）]])</f>
        <v>595905</v>
      </c>
      <c r="R13" s="5" t="s">
        <v>143</v>
      </c>
      <c r="S13" t="s">
        <v>77</v>
      </c>
      <c r="T13" t="s">
        <v>209</v>
      </c>
      <c r="U13" t="s">
        <v>210</v>
      </c>
      <c r="W13" t="s">
        <v>211</v>
      </c>
      <c r="X13" t="str">
        <f t="shared" si="0"/>
        <v>発注書PO-0004食事用スタイ　工場12(18.98元×20.63円/元)</v>
      </c>
      <c r="Y13" s="7" t="b">
        <v>1</v>
      </c>
      <c r="AA13" s="7" t="b">
        <v>1</v>
      </c>
      <c r="AB13" s="1">
        <v>45140</v>
      </c>
      <c r="AC13" t="s">
        <v>210</v>
      </c>
      <c r="AI13" s="14">
        <v>391.55739999999997</v>
      </c>
      <c r="AJ13" t="s">
        <v>29</v>
      </c>
      <c r="AK13" t="s">
        <v>136</v>
      </c>
      <c r="AL13" t="s">
        <v>137</v>
      </c>
      <c r="AQ13" s="14">
        <v>391.55739999999997</v>
      </c>
      <c r="AS13" t="s">
        <v>175</v>
      </c>
      <c r="AT13" s="14" t="s">
        <v>143</v>
      </c>
      <c r="AX13" s="1"/>
      <c r="BG13" t="s">
        <v>209</v>
      </c>
      <c r="BH13" t="s">
        <v>210</v>
      </c>
      <c r="BJ13" t="s">
        <v>211</v>
      </c>
    </row>
    <row r="14" spans="1:62" ht="18.5" customHeight="1" x14ac:dyDescent="0.55000000000000004">
      <c r="A14">
        <v>13</v>
      </c>
      <c r="B14" s="1">
        <v>45184</v>
      </c>
      <c r="C14" t="s">
        <v>86</v>
      </c>
      <c r="D14" t="s">
        <v>87</v>
      </c>
      <c r="F14">
        <v>116</v>
      </c>
      <c r="G14">
        <v>1</v>
      </c>
      <c r="H14">
        <v>116</v>
      </c>
      <c r="K14" s="17">
        <v>116</v>
      </c>
      <c r="L14" s="4">
        <v>28769.418458555505</v>
      </c>
      <c r="M14" s="8" t="s">
        <v>88</v>
      </c>
      <c r="N14" s="6">
        <v>26016154592</v>
      </c>
      <c r="O14" s="19">
        <v>20.63</v>
      </c>
      <c r="P14" s="5">
        <f>ROUND((ESPRIM[[#This Row],[入金額（元）]]-ESPRIM[[#This Row],[出金額（元）]])*ESPRIM[[#This Row],[為替レート]],0)</f>
        <v>-2393</v>
      </c>
      <c r="Q14" s="5">
        <f>IFERROR(Q13+ESPRIM[[#This Row],[残高増減（円）]],ESPRIM[[#This Row],[残高増減（円）]])</f>
        <v>593512</v>
      </c>
      <c r="R14" s="5" t="s">
        <v>143</v>
      </c>
      <c r="S14" t="s">
        <v>77</v>
      </c>
      <c r="T14" t="s">
        <v>209</v>
      </c>
      <c r="U14" t="s">
        <v>210</v>
      </c>
      <c r="W14" t="s">
        <v>211</v>
      </c>
      <c r="X14" t="str">
        <f t="shared" si="0"/>
        <v>OCS　食事用スタイのサンプル　2023.8.14(116元×20.63円/元)</v>
      </c>
      <c r="Y14" s="7" t="b">
        <v>1</v>
      </c>
      <c r="AA14" s="7" t="b">
        <v>1</v>
      </c>
      <c r="AB14" s="1">
        <v>45184</v>
      </c>
      <c r="AC14" t="s">
        <v>210</v>
      </c>
      <c r="AI14" s="14">
        <v>2393.08</v>
      </c>
      <c r="AJ14" t="s">
        <v>29</v>
      </c>
      <c r="AK14" t="s">
        <v>136</v>
      </c>
      <c r="AL14" t="s">
        <v>137</v>
      </c>
      <c r="AQ14" s="14">
        <v>2393.08</v>
      </c>
      <c r="AS14" t="s">
        <v>176</v>
      </c>
      <c r="AT14" s="14" t="s">
        <v>143</v>
      </c>
      <c r="AX14" s="1"/>
      <c r="BG14" t="s">
        <v>209</v>
      </c>
      <c r="BH14" t="s">
        <v>210</v>
      </c>
      <c r="BJ14" t="s">
        <v>211</v>
      </c>
    </row>
    <row r="15" spans="1:62" ht="18.5" customHeight="1" x14ac:dyDescent="0.55000000000000004">
      <c r="A15">
        <v>14</v>
      </c>
      <c r="B15" s="1">
        <v>45245</v>
      </c>
      <c r="C15" t="s">
        <v>89</v>
      </c>
      <c r="D15" t="s">
        <v>90</v>
      </c>
      <c r="F15">
        <v>125</v>
      </c>
      <c r="G15">
        <v>1</v>
      </c>
      <c r="H15">
        <v>125</v>
      </c>
      <c r="K15" s="17">
        <v>125</v>
      </c>
      <c r="L15" s="4">
        <v>28644.418458555505</v>
      </c>
      <c r="M15" s="4"/>
      <c r="N15" s="6"/>
      <c r="O15" s="19">
        <v>20.63</v>
      </c>
      <c r="P15" s="5">
        <f>ROUND((ESPRIM[[#This Row],[入金額（元）]]-ESPRIM[[#This Row],[出金額（元）]])*ESPRIM[[#This Row],[為替レート]],0)</f>
        <v>-2579</v>
      </c>
      <c r="Q15" s="5">
        <f>IFERROR(Q14+ESPRIM[[#This Row],[残高増減（円）]],ESPRIM[[#This Row],[残高増減（円）]])</f>
        <v>590933</v>
      </c>
      <c r="R15" s="5" t="s">
        <v>144</v>
      </c>
      <c r="T15" t="s">
        <v>209</v>
      </c>
      <c r="U15" t="s">
        <v>40</v>
      </c>
      <c r="V15" t="s">
        <v>212</v>
      </c>
      <c r="W15" t="s">
        <v>211</v>
      </c>
      <c r="X15" t="str">
        <f t="shared" si="0"/>
        <v>発注書PO-0005洗濯タグ500個(125元×20.63円/元)</v>
      </c>
      <c r="Y15" s="7" t="b">
        <v>1</v>
      </c>
      <c r="AA15" s="7" t="b">
        <v>1</v>
      </c>
      <c r="AB15" s="1">
        <v>45245</v>
      </c>
      <c r="AC15" t="s">
        <v>40</v>
      </c>
      <c r="AD15" t="s">
        <v>212</v>
      </c>
      <c r="AI15" s="14">
        <v>2578.75</v>
      </c>
      <c r="AJ15" t="s">
        <v>29</v>
      </c>
      <c r="AK15" t="s">
        <v>136</v>
      </c>
      <c r="AL15" t="s">
        <v>137</v>
      </c>
      <c r="AQ15" s="14">
        <v>2578.75</v>
      </c>
      <c r="AS15" t="s">
        <v>177</v>
      </c>
      <c r="AT15" s="14" t="s">
        <v>144</v>
      </c>
      <c r="AU15" t="s">
        <v>156</v>
      </c>
      <c r="AX15" s="1"/>
      <c r="BG15" t="s">
        <v>209</v>
      </c>
      <c r="BH15" t="s">
        <v>40</v>
      </c>
      <c r="BI15" t="s">
        <v>212</v>
      </c>
      <c r="BJ15" t="s">
        <v>211</v>
      </c>
    </row>
    <row r="16" spans="1:62" ht="18.5" customHeight="1" x14ac:dyDescent="0.55000000000000004">
      <c r="A16">
        <v>15</v>
      </c>
      <c r="B16" s="1">
        <v>45275</v>
      </c>
      <c r="C16" t="s">
        <v>74</v>
      </c>
      <c r="D16" t="s">
        <v>91</v>
      </c>
      <c r="F16">
        <v>200</v>
      </c>
      <c r="G16">
        <v>1</v>
      </c>
      <c r="H16">
        <v>200</v>
      </c>
      <c r="K16" s="17">
        <v>200</v>
      </c>
      <c r="L16" s="4">
        <v>28444.418458555505</v>
      </c>
      <c r="M16" s="4"/>
      <c r="N16" s="6"/>
      <c r="O16" s="19">
        <v>20.63</v>
      </c>
      <c r="P16" s="5">
        <f>ROUND((ESPRIM[[#This Row],[入金額（元）]]-ESPRIM[[#This Row],[出金額（元）]])*ESPRIM[[#This Row],[為替レート]],0)</f>
        <v>-4126</v>
      </c>
      <c r="Q16" s="5">
        <f>IFERROR(Q15+ESPRIM[[#This Row],[残高増減（円）]],ESPRIM[[#This Row],[残高増減（円）]])</f>
        <v>586807</v>
      </c>
      <c r="R16" s="5" t="s">
        <v>145</v>
      </c>
      <c r="T16" t="s">
        <v>209</v>
      </c>
      <c r="U16" t="s">
        <v>210</v>
      </c>
      <c r="W16" t="s">
        <v>211</v>
      </c>
      <c r="X16" t="str">
        <f t="shared" si="0"/>
        <v>発注書PO-0006　食事用スタイ　工場1サンプル発注(200元×20.63円/元)</v>
      </c>
      <c r="Y16" s="7" t="b">
        <v>1</v>
      </c>
      <c r="AA16" s="7" t="b">
        <v>1</v>
      </c>
      <c r="AB16" s="1">
        <v>45275</v>
      </c>
      <c r="AC16" t="s">
        <v>210</v>
      </c>
      <c r="AI16" s="14">
        <v>4126</v>
      </c>
      <c r="AJ16" t="s">
        <v>29</v>
      </c>
      <c r="AK16" t="s">
        <v>136</v>
      </c>
      <c r="AL16" t="s">
        <v>137</v>
      </c>
      <c r="AQ16" s="14">
        <v>4126</v>
      </c>
      <c r="AS16" t="s">
        <v>178</v>
      </c>
      <c r="AT16" s="14" t="s">
        <v>145</v>
      </c>
      <c r="AX16" s="1"/>
      <c r="BG16" t="s">
        <v>209</v>
      </c>
      <c r="BH16" t="s">
        <v>210</v>
      </c>
      <c r="BI16" t="s">
        <v>213</v>
      </c>
      <c r="BJ16" t="s">
        <v>211</v>
      </c>
    </row>
    <row r="17" spans="1:62" ht="18.5" customHeight="1" thickBot="1" x14ac:dyDescent="0.6">
      <c r="A17" s="16">
        <v>16</v>
      </c>
      <c r="B17" s="1">
        <v>45275</v>
      </c>
      <c r="C17" t="s">
        <v>63</v>
      </c>
      <c r="D17" t="s">
        <v>92</v>
      </c>
      <c r="F17">
        <v>13</v>
      </c>
      <c r="G17">
        <v>1</v>
      </c>
      <c r="H17">
        <v>13</v>
      </c>
      <c r="K17" s="17">
        <v>13</v>
      </c>
      <c r="L17" s="4">
        <v>28431.418458555505</v>
      </c>
      <c r="M17" s="4"/>
      <c r="N17" s="6"/>
      <c r="O17" s="19">
        <v>20.63</v>
      </c>
      <c r="P17" s="5">
        <f>ROUND((ESPRIM[[#This Row],[入金額（元）]]-ESPRIM[[#This Row],[出金額（元）]])*ESPRIM[[#This Row],[為替レート]],0)</f>
        <v>-268</v>
      </c>
      <c r="Q17" s="28">
        <f>IFERROR(Q16+ESPRIM[[#This Row],[残高増減（円）]],ESPRIM[[#This Row],[残高増減（円）]])</f>
        <v>586539</v>
      </c>
      <c r="R17" s="5" t="s">
        <v>141</v>
      </c>
      <c r="T17" s="16" t="s">
        <v>209</v>
      </c>
      <c r="U17" s="16" t="s">
        <v>210</v>
      </c>
      <c r="V17" s="16"/>
      <c r="W17" s="16" t="s">
        <v>211</v>
      </c>
      <c r="X17" s="16" t="str">
        <f t="shared" si="0"/>
        <v>発注書PO-0006　洗濯タグを工場に発送する国内送料(13元×20.63円/元)</v>
      </c>
      <c r="Y17" s="15" t="b">
        <v>1</v>
      </c>
      <c r="AA17" s="15" t="b">
        <v>1</v>
      </c>
      <c r="AB17" s="26">
        <v>45275</v>
      </c>
      <c r="AC17" s="16" t="s">
        <v>210</v>
      </c>
      <c r="AD17" s="16"/>
      <c r="AE17" s="16"/>
      <c r="AF17" s="16"/>
      <c r="AG17" s="16"/>
      <c r="AH17" s="16"/>
      <c r="AI17" s="21">
        <v>268.19</v>
      </c>
      <c r="AJ17" s="16" t="s">
        <v>29</v>
      </c>
      <c r="AK17" s="16" t="s">
        <v>136</v>
      </c>
      <c r="AL17" s="16" t="s">
        <v>137</v>
      </c>
      <c r="AM17" s="16"/>
      <c r="AN17" s="16"/>
      <c r="AO17" s="16"/>
      <c r="AP17" s="16"/>
      <c r="AQ17" s="21">
        <v>268.19</v>
      </c>
      <c r="AR17" s="16"/>
      <c r="AS17" s="16" t="s">
        <v>179</v>
      </c>
      <c r="AT17" s="21" t="s">
        <v>145</v>
      </c>
      <c r="AU17" s="16"/>
      <c r="AV17" s="16"/>
      <c r="AW17" s="16"/>
      <c r="AX17" s="26"/>
      <c r="AY17" s="16"/>
      <c r="AZ17" s="16"/>
      <c r="BA17" s="16"/>
      <c r="BG17" t="s">
        <v>209</v>
      </c>
      <c r="BH17" t="s">
        <v>210</v>
      </c>
      <c r="BI17" t="s">
        <v>213</v>
      </c>
      <c r="BJ17" t="s">
        <v>211</v>
      </c>
    </row>
    <row r="18" spans="1:62" ht="18.5" customHeight="1" x14ac:dyDescent="0.55000000000000004">
      <c r="A18">
        <v>17</v>
      </c>
      <c r="B18" s="10">
        <v>45308</v>
      </c>
      <c r="C18" s="9" t="s">
        <v>89</v>
      </c>
      <c r="D18" s="9" t="s">
        <v>93</v>
      </c>
      <c r="E18" s="9"/>
      <c r="F18" s="9">
        <v>125</v>
      </c>
      <c r="G18" s="9">
        <v>1</v>
      </c>
      <c r="H18" s="9">
        <v>125</v>
      </c>
      <c r="I18" s="9"/>
      <c r="J18" s="9"/>
      <c r="K18" s="18">
        <v>125</v>
      </c>
      <c r="L18" s="12">
        <v>28306.418458555505</v>
      </c>
      <c r="M18" s="12"/>
      <c r="N18" s="13"/>
      <c r="O18" s="20">
        <v>20.63</v>
      </c>
      <c r="P18" s="11">
        <f>ROUND((ESPRIM[[#This Row],[入金額（元）]]-ESPRIM[[#This Row],[出金額（元）]])*ESPRIM[[#This Row],[為替レート]],0)</f>
        <v>-2579</v>
      </c>
      <c r="Q18" s="11">
        <f>IFERROR(Q17+ESPRIM[[#This Row],[残高増減（円）]],ESPRIM[[#This Row],[残高増減（円）]])</f>
        <v>583960</v>
      </c>
      <c r="R18" s="11" t="s">
        <v>139</v>
      </c>
      <c r="S18" s="9"/>
      <c r="T18" t="s">
        <v>209</v>
      </c>
      <c r="U18" t="s">
        <v>40</v>
      </c>
      <c r="V18" t="s">
        <v>212</v>
      </c>
      <c r="W18" t="s">
        <v>211</v>
      </c>
      <c r="X18" t="str">
        <f t="shared" si="0"/>
        <v>発注書PO-0007洗濯タグ500個（pu）(125元×20.63円/元)</v>
      </c>
      <c r="Y18" s="7" t="b">
        <v>1</v>
      </c>
      <c r="AA18" s="7" t="b">
        <v>1</v>
      </c>
      <c r="AB18" s="1">
        <f>ESPRIM[[#This Row],[日付]]</f>
        <v>45308</v>
      </c>
      <c r="AC18" t="s">
        <v>40</v>
      </c>
      <c r="AD18" t="s">
        <v>212</v>
      </c>
      <c r="AI18" s="14">
        <f>ESPRIM[[#This Row],[残高増減（円）]]</f>
        <v>-2579</v>
      </c>
      <c r="AJ18" t="s">
        <v>29</v>
      </c>
      <c r="AK18" t="s">
        <v>136</v>
      </c>
      <c r="AL18" t="s">
        <v>137</v>
      </c>
      <c r="AQ18" s="14">
        <f>ESPRIM[[#This Row],[残高増減（円）]]</f>
        <v>-2579</v>
      </c>
      <c r="AS18" t="str">
        <f>$D18&amp;"("&amp;$K18&amp;"元"&amp;"×"&amp;$O18&amp;"円/元)"</f>
        <v>発注書PO-0007洗濯タグ500個（pu）(125元×20.63円/元)</v>
      </c>
      <c r="AT18" s="14" t="str">
        <f t="shared" ref="AT18:AT27" si="1">$R18</f>
        <v>PO-0007</v>
      </c>
      <c r="AU18" t="s">
        <v>156</v>
      </c>
      <c r="AX18" s="1"/>
      <c r="BG18" t="s">
        <v>209</v>
      </c>
      <c r="BH18" t="s">
        <v>40</v>
      </c>
      <c r="BI18" t="s">
        <v>212</v>
      </c>
      <c r="BJ18" t="s">
        <v>211</v>
      </c>
    </row>
    <row r="19" spans="1:62" ht="18.5" customHeight="1" x14ac:dyDescent="0.55000000000000004">
      <c r="A19">
        <v>18</v>
      </c>
      <c r="B19" s="1">
        <v>45363</v>
      </c>
      <c r="C19" t="s">
        <v>74</v>
      </c>
      <c r="D19" t="s">
        <v>94</v>
      </c>
      <c r="F19">
        <v>39</v>
      </c>
      <c r="G19">
        <v>1</v>
      </c>
      <c r="H19">
        <v>39</v>
      </c>
      <c r="K19" s="17">
        <v>39</v>
      </c>
      <c r="L19" s="4">
        <v>28267.418458555505</v>
      </c>
      <c r="M19" s="4"/>
      <c r="N19" s="6"/>
      <c r="O19" s="19">
        <v>20.63</v>
      </c>
      <c r="P19" s="5">
        <f>ROUND((ESPRIM[[#This Row],[入金額（元）]]-ESPRIM[[#This Row],[出金額（元）]])*ESPRIM[[#This Row],[為替レート]],0)</f>
        <v>-805</v>
      </c>
      <c r="Q19" s="5">
        <f>IFERROR(Q18+ESPRIM[[#This Row],[残高増減（円）]],ESPRIM[[#This Row],[残高増減（円）]])</f>
        <v>583155</v>
      </c>
      <c r="R19" s="5" t="s">
        <v>140</v>
      </c>
      <c r="S19" t="s">
        <v>95</v>
      </c>
      <c r="T19" t="s">
        <v>209</v>
      </c>
      <c r="U19" t="s">
        <v>214</v>
      </c>
      <c r="X19" t="str">
        <f t="shared" si="0"/>
        <v>発注書PO-0009パッケージ箱　工場1(39元×20.63円/元)</v>
      </c>
      <c r="Y19" s="7" t="b">
        <v>1</v>
      </c>
      <c r="AA19" s="7" t="b">
        <v>1</v>
      </c>
      <c r="AB19" s="1">
        <f>ESPRIM[[#This Row],[日付]]</f>
        <v>45363</v>
      </c>
      <c r="AC19" t="s">
        <v>214</v>
      </c>
      <c r="AI19" s="14">
        <f>ESPRIM[[#This Row],[残高増減（円）]]</f>
        <v>-805</v>
      </c>
      <c r="AJ19" t="s">
        <v>29</v>
      </c>
      <c r="AK19" t="s">
        <v>136</v>
      </c>
      <c r="AL19" t="s">
        <v>137</v>
      </c>
      <c r="AM19" s="14"/>
      <c r="AQ19" s="14">
        <f>ESPRIM[[#This Row],[残高増減（円）]]</f>
        <v>-805</v>
      </c>
      <c r="AS19" t="str">
        <f t="shared" ref="AS19:AS27" si="2">$D19&amp;"("&amp;$K19&amp;"元"&amp;"×"&amp;$O19&amp;"円/元)"</f>
        <v>発注書PO-0009パッケージ箱　工場1(39元×20.63円/元)</v>
      </c>
      <c r="AT19" s="14" t="str">
        <f t="shared" si="1"/>
        <v>PO-0009</v>
      </c>
      <c r="AX19" s="1"/>
      <c r="BG19" t="s">
        <v>209</v>
      </c>
      <c r="BH19" t="s">
        <v>214</v>
      </c>
    </row>
    <row r="20" spans="1:62" ht="18.5" customHeight="1" x14ac:dyDescent="0.55000000000000004">
      <c r="A20">
        <v>19</v>
      </c>
      <c r="B20" s="1">
        <v>45363</v>
      </c>
      <c r="C20" t="s">
        <v>74</v>
      </c>
      <c r="D20" t="s">
        <v>96</v>
      </c>
      <c r="F20">
        <v>6.4</v>
      </c>
      <c r="G20">
        <v>1</v>
      </c>
      <c r="H20">
        <v>6.4</v>
      </c>
      <c r="K20" s="17">
        <v>6.4</v>
      </c>
      <c r="L20" s="4">
        <v>28261.018458555503</v>
      </c>
      <c r="M20" s="4"/>
      <c r="N20" s="6"/>
      <c r="O20" s="19">
        <v>20.63</v>
      </c>
      <c r="P20" s="5">
        <f>ROUND((ESPRIM[[#This Row],[入金額（元）]]-ESPRIM[[#This Row],[出金額（元）]])*ESPRIM[[#This Row],[為替レート]],0)</f>
        <v>-132</v>
      </c>
      <c r="Q20" s="5">
        <f>IFERROR(Q19+ESPRIM[[#This Row],[残高増減（円）]],ESPRIM[[#This Row],[残高増減（円）]])</f>
        <v>583023</v>
      </c>
      <c r="R20" s="5" t="s">
        <v>140</v>
      </c>
      <c r="S20" t="s">
        <v>95</v>
      </c>
      <c r="T20" t="s">
        <v>209</v>
      </c>
      <c r="U20" t="s">
        <v>214</v>
      </c>
      <c r="X20" t="str">
        <f t="shared" si="0"/>
        <v>発注書PO-0009パッケージ箱　工場2(6.4元×20.63円/元)</v>
      </c>
      <c r="Y20" s="7" t="b">
        <v>1</v>
      </c>
      <c r="AA20" s="7" t="b">
        <v>1</v>
      </c>
      <c r="AB20" s="1">
        <f>ESPRIM[[#This Row],[日付]]</f>
        <v>45363</v>
      </c>
      <c r="AC20" t="s">
        <v>214</v>
      </c>
      <c r="AI20" s="14">
        <f>ESPRIM[[#This Row],[残高増減（円）]]</f>
        <v>-132</v>
      </c>
      <c r="AJ20" t="s">
        <v>29</v>
      </c>
      <c r="AK20" t="s">
        <v>136</v>
      </c>
      <c r="AL20" t="s">
        <v>137</v>
      </c>
      <c r="AM20" s="14"/>
      <c r="AQ20" s="14">
        <f>ESPRIM[[#This Row],[残高増減（円）]]</f>
        <v>-132</v>
      </c>
      <c r="AS20" t="str">
        <f t="shared" si="2"/>
        <v>発注書PO-0009パッケージ箱　工場2(6.4元×20.63円/元)</v>
      </c>
      <c r="AT20" s="14" t="str">
        <f t="shared" si="1"/>
        <v>PO-0009</v>
      </c>
      <c r="AX20" s="1"/>
      <c r="BG20" t="s">
        <v>209</v>
      </c>
      <c r="BH20" t="s">
        <v>214</v>
      </c>
    </row>
    <row r="21" spans="1:62" ht="18.5" customHeight="1" x14ac:dyDescent="0.55000000000000004">
      <c r="A21">
        <v>20</v>
      </c>
      <c r="B21" s="1">
        <v>45363</v>
      </c>
      <c r="C21" t="s">
        <v>74</v>
      </c>
      <c r="D21" t="s">
        <v>97</v>
      </c>
      <c r="F21">
        <v>8</v>
      </c>
      <c r="G21">
        <v>1</v>
      </c>
      <c r="H21">
        <v>8</v>
      </c>
      <c r="K21" s="17">
        <v>8</v>
      </c>
      <c r="L21" s="4">
        <v>28253.018458555503</v>
      </c>
      <c r="M21" s="4"/>
      <c r="N21" s="6"/>
      <c r="O21" s="19">
        <v>20.63</v>
      </c>
      <c r="P21" s="5">
        <f>ROUND((ESPRIM[[#This Row],[入金額（元）]]-ESPRIM[[#This Row],[出金額（元）]])*ESPRIM[[#This Row],[為替レート]],0)</f>
        <v>-165</v>
      </c>
      <c r="Q21" s="5">
        <f>IFERROR(Q20+ESPRIM[[#This Row],[残高増減（円）]],ESPRIM[[#This Row],[残高増減（円）]])</f>
        <v>582858</v>
      </c>
      <c r="R21" s="5" t="s">
        <v>140</v>
      </c>
      <c r="S21" t="s">
        <v>95</v>
      </c>
      <c r="T21" t="s">
        <v>209</v>
      </c>
      <c r="U21" t="s">
        <v>214</v>
      </c>
      <c r="X21" t="str">
        <f t="shared" si="0"/>
        <v>発注書PO-0009パッケージ箱　工場3(8元×20.63円/元)</v>
      </c>
      <c r="Y21" s="7" t="b">
        <v>1</v>
      </c>
      <c r="AA21" s="7" t="b">
        <v>1</v>
      </c>
      <c r="AB21" s="1">
        <f>ESPRIM[[#This Row],[日付]]</f>
        <v>45363</v>
      </c>
      <c r="AC21" t="s">
        <v>214</v>
      </c>
      <c r="AI21" s="14">
        <f>ESPRIM[[#This Row],[残高増減（円）]]</f>
        <v>-165</v>
      </c>
      <c r="AJ21" t="s">
        <v>29</v>
      </c>
      <c r="AK21" t="s">
        <v>136</v>
      </c>
      <c r="AL21" t="s">
        <v>137</v>
      </c>
      <c r="AM21" s="14"/>
      <c r="AQ21" s="14">
        <f>ESPRIM[[#This Row],[残高増減（円）]]</f>
        <v>-165</v>
      </c>
      <c r="AS21" t="str">
        <f t="shared" si="2"/>
        <v>発注書PO-0009パッケージ箱　工場3(8元×20.63円/元)</v>
      </c>
      <c r="AT21" s="14" t="str">
        <f t="shared" si="1"/>
        <v>PO-0009</v>
      </c>
      <c r="AX21" s="1"/>
      <c r="BG21" t="s">
        <v>209</v>
      </c>
      <c r="BH21" t="s">
        <v>214</v>
      </c>
    </row>
    <row r="22" spans="1:62" ht="18.5" customHeight="1" x14ac:dyDescent="0.55000000000000004">
      <c r="A22">
        <v>21</v>
      </c>
      <c r="B22" s="1">
        <v>45363</v>
      </c>
      <c r="C22" t="s">
        <v>74</v>
      </c>
      <c r="D22" t="s">
        <v>98</v>
      </c>
      <c r="F22">
        <v>82</v>
      </c>
      <c r="G22">
        <v>1</v>
      </c>
      <c r="H22">
        <v>82</v>
      </c>
      <c r="K22" s="17">
        <v>82</v>
      </c>
      <c r="L22" s="4">
        <v>28171.018458555503</v>
      </c>
      <c r="M22" s="4"/>
      <c r="N22" s="6"/>
      <c r="O22" s="19">
        <v>20.63</v>
      </c>
      <c r="P22" s="5">
        <f>ROUND((ESPRIM[[#This Row],[入金額（元）]]-ESPRIM[[#This Row],[出金額（元）]])*ESPRIM[[#This Row],[為替レート]],0)</f>
        <v>-1692</v>
      </c>
      <c r="Q22" s="5">
        <f>IFERROR(Q21+ESPRIM[[#This Row],[残高増減（円）]],ESPRIM[[#This Row],[残高増減（円）]])</f>
        <v>581166</v>
      </c>
      <c r="R22" s="5" t="s">
        <v>140</v>
      </c>
      <c r="S22" t="s">
        <v>95</v>
      </c>
      <c r="T22" t="s">
        <v>209</v>
      </c>
      <c r="U22" t="s">
        <v>214</v>
      </c>
      <c r="X22" t="str">
        <f t="shared" si="0"/>
        <v>発注書PO-0009パッケージ箱　工場4(82元×20.63円/元)</v>
      </c>
      <c r="Y22" s="7" t="b">
        <v>1</v>
      </c>
      <c r="AA22" s="7" t="b">
        <v>1</v>
      </c>
      <c r="AB22" s="1">
        <f>ESPRIM[[#This Row],[日付]]</f>
        <v>45363</v>
      </c>
      <c r="AC22" t="s">
        <v>214</v>
      </c>
      <c r="AI22" s="14">
        <f>ESPRIM[[#This Row],[残高増減（円）]]</f>
        <v>-1692</v>
      </c>
      <c r="AJ22" t="s">
        <v>29</v>
      </c>
      <c r="AK22" t="s">
        <v>136</v>
      </c>
      <c r="AL22" t="s">
        <v>137</v>
      </c>
      <c r="AM22" s="14"/>
      <c r="AQ22" s="14">
        <f>ESPRIM[[#This Row],[残高増減（円）]]</f>
        <v>-1692</v>
      </c>
      <c r="AS22" t="str">
        <f t="shared" si="2"/>
        <v>発注書PO-0009パッケージ箱　工場4(82元×20.63円/元)</v>
      </c>
      <c r="AT22" s="14" t="str">
        <f t="shared" si="1"/>
        <v>PO-0009</v>
      </c>
      <c r="AX22" s="1"/>
      <c r="BG22" t="s">
        <v>209</v>
      </c>
      <c r="BH22" t="s">
        <v>214</v>
      </c>
    </row>
    <row r="23" spans="1:62" ht="18.5" customHeight="1" x14ac:dyDescent="0.55000000000000004">
      <c r="A23">
        <v>22</v>
      </c>
      <c r="B23" s="1">
        <v>45363</v>
      </c>
      <c r="C23" t="s">
        <v>74</v>
      </c>
      <c r="D23" t="s">
        <v>99</v>
      </c>
      <c r="F23">
        <v>7.22</v>
      </c>
      <c r="G23">
        <v>1</v>
      </c>
      <c r="H23">
        <v>7.22</v>
      </c>
      <c r="K23" s="17">
        <v>7.22</v>
      </c>
      <c r="L23" s="4">
        <v>28163.798458555502</v>
      </c>
      <c r="M23" s="4"/>
      <c r="N23" s="6"/>
      <c r="O23" s="19">
        <v>20.63</v>
      </c>
      <c r="P23" s="5">
        <f>ROUND((ESPRIM[[#This Row],[入金額（元）]]-ESPRIM[[#This Row],[出金額（元）]])*ESPRIM[[#This Row],[為替レート]],0)</f>
        <v>-149</v>
      </c>
      <c r="Q23" s="5">
        <f>IFERROR(Q22+ESPRIM[[#This Row],[残高増減（円）]],ESPRIM[[#This Row],[残高増減（円）]])</f>
        <v>581017</v>
      </c>
      <c r="R23" s="5" t="s">
        <v>140</v>
      </c>
      <c r="S23" t="s">
        <v>95</v>
      </c>
      <c r="T23" t="s">
        <v>209</v>
      </c>
      <c r="U23" t="s">
        <v>214</v>
      </c>
      <c r="X23" t="str">
        <f t="shared" si="0"/>
        <v>発注書PO-0009パッケージ箱　工場5(7.22元×20.63円/元)</v>
      </c>
      <c r="Y23" s="7" t="b">
        <v>1</v>
      </c>
      <c r="AA23" s="7" t="b">
        <v>1</v>
      </c>
      <c r="AB23" s="1">
        <f>ESPRIM[[#This Row],[日付]]</f>
        <v>45363</v>
      </c>
      <c r="AC23" t="s">
        <v>214</v>
      </c>
      <c r="AI23" s="14">
        <f>ESPRIM[[#This Row],[残高増減（円）]]</f>
        <v>-149</v>
      </c>
      <c r="AJ23" t="s">
        <v>29</v>
      </c>
      <c r="AK23" t="s">
        <v>136</v>
      </c>
      <c r="AL23" t="s">
        <v>137</v>
      </c>
      <c r="AM23" s="14"/>
      <c r="AQ23" s="14">
        <f>ESPRIM[[#This Row],[残高増減（円）]]</f>
        <v>-149</v>
      </c>
      <c r="AS23" t="str">
        <f t="shared" si="2"/>
        <v>発注書PO-0009パッケージ箱　工場5(7.22元×20.63円/元)</v>
      </c>
      <c r="AT23" s="14" t="str">
        <f t="shared" si="1"/>
        <v>PO-0009</v>
      </c>
      <c r="AX23" s="1"/>
      <c r="BG23" t="s">
        <v>209</v>
      </c>
      <c r="BH23" t="s">
        <v>214</v>
      </c>
    </row>
    <row r="24" spans="1:62" ht="18.5" customHeight="1" x14ac:dyDescent="0.55000000000000004">
      <c r="A24">
        <v>23</v>
      </c>
      <c r="B24" s="1">
        <v>45363</v>
      </c>
      <c r="C24" t="s">
        <v>74</v>
      </c>
      <c r="D24" t="s">
        <v>100</v>
      </c>
      <c r="F24">
        <v>215</v>
      </c>
      <c r="G24">
        <v>1</v>
      </c>
      <c r="H24">
        <v>215</v>
      </c>
      <c r="K24" s="17">
        <v>215</v>
      </c>
      <c r="L24" s="4">
        <v>27948.798458555502</v>
      </c>
      <c r="M24" s="4"/>
      <c r="N24" s="6"/>
      <c r="O24" s="19">
        <v>20.63</v>
      </c>
      <c r="P24" s="5">
        <f>ROUND((ESPRIM[[#This Row],[入金額（元）]]-ESPRIM[[#This Row],[出金額（元）]])*ESPRIM[[#This Row],[為替レート]],0)</f>
        <v>-4435</v>
      </c>
      <c r="Q24" s="5">
        <f>IFERROR(Q23+ESPRIM[[#This Row],[残高増減（円）]],ESPRIM[[#This Row],[残高増減（円）]])</f>
        <v>576582</v>
      </c>
      <c r="R24" s="5" t="s">
        <v>141</v>
      </c>
      <c r="S24" t="s">
        <v>95</v>
      </c>
      <c r="T24" t="s">
        <v>209</v>
      </c>
      <c r="U24" t="s">
        <v>210</v>
      </c>
      <c r="W24" t="s">
        <v>211</v>
      </c>
      <c r="X24" t="str">
        <f t="shared" si="0"/>
        <v>発注書PO-0008食事エプロンOEM(215元×20.63円/元)</v>
      </c>
      <c r="Y24" s="7" t="b">
        <v>1</v>
      </c>
      <c r="AA24" s="7" t="b">
        <v>1</v>
      </c>
      <c r="AB24" s="1">
        <f>ESPRIM[[#This Row],[日付]]</f>
        <v>45363</v>
      </c>
      <c r="AC24" t="s">
        <v>210</v>
      </c>
      <c r="AD24" t="s">
        <v>213</v>
      </c>
      <c r="AI24" s="14">
        <f>ESPRIM[[#This Row],[残高増減（円）]]</f>
        <v>-4435</v>
      </c>
      <c r="AJ24" t="s">
        <v>29</v>
      </c>
      <c r="AK24" t="s">
        <v>136</v>
      </c>
      <c r="AL24" t="s">
        <v>137</v>
      </c>
      <c r="AM24" s="14"/>
      <c r="AQ24" s="14">
        <f>ESPRIM[[#This Row],[残高増減（円）]]</f>
        <v>-4435</v>
      </c>
      <c r="AS24" t="str">
        <f t="shared" si="2"/>
        <v>発注書PO-0008食事エプロンOEM(215元×20.63円/元)</v>
      </c>
      <c r="AT24" s="14" t="str">
        <f t="shared" si="1"/>
        <v>PO-0008</v>
      </c>
      <c r="AX24" s="1"/>
      <c r="BG24" t="s">
        <v>209</v>
      </c>
      <c r="BH24" t="s">
        <v>210</v>
      </c>
      <c r="BI24" t="s">
        <v>213</v>
      </c>
      <c r="BJ24" t="s">
        <v>211</v>
      </c>
    </row>
    <row r="25" spans="1:62" ht="18.5" customHeight="1" x14ac:dyDescent="0.55000000000000004">
      <c r="A25">
        <v>24</v>
      </c>
      <c r="B25" s="1">
        <v>45400</v>
      </c>
      <c r="C25" t="s">
        <v>63</v>
      </c>
      <c r="D25" t="s">
        <v>101</v>
      </c>
      <c r="F25">
        <v>18</v>
      </c>
      <c r="G25">
        <v>1</v>
      </c>
      <c r="H25">
        <v>18</v>
      </c>
      <c r="K25" s="17">
        <v>18</v>
      </c>
      <c r="L25" s="4">
        <v>27930.798458555502</v>
      </c>
      <c r="M25" s="4" t="s">
        <v>102</v>
      </c>
      <c r="N25" s="6"/>
      <c r="O25" s="19">
        <v>20.63</v>
      </c>
      <c r="P25" s="5">
        <f>ROUND((ESPRIM[[#This Row],[入金額（元）]]-ESPRIM[[#This Row],[出金額（元）]])*ESPRIM[[#This Row],[為替レート]],0)</f>
        <v>-371</v>
      </c>
      <c r="Q25" s="5">
        <f>IFERROR(Q24+ESPRIM[[#This Row],[残高増減（円）]],ESPRIM[[#This Row],[残高増減（円）]])</f>
        <v>576211</v>
      </c>
      <c r="R25" s="5" t="s">
        <v>141</v>
      </c>
      <c r="S25" t="s">
        <v>95</v>
      </c>
      <c r="T25" t="s">
        <v>209</v>
      </c>
      <c r="U25" t="s">
        <v>210</v>
      </c>
      <c r="W25" t="s">
        <v>211</v>
      </c>
      <c r="X25" t="str">
        <f t="shared" si="0"/>
        <v>発注書PO-0008 洗濯タグ（pu）を工場に発送する国内送料(18元×20.63円/元)</v>
      </c>
      <c r="Y25" s="7" t="b">
        <v>1</v>
      </c>
      <c r="AA25" s="7" t="b">
        <v>1</v>
      </c>
      <c r="AB25" s="1">
        <f>ESPRIM[[#This Row],[日付]]</f>
        <v>45400</v>
      </c>
      <c r="AC25" t="s">
        <v>210</v>
      </c>
      <c r="AD25" t="s">
        <v>213</v>
      </c>
      <c r="AI25" s="14">
        <f>ESPRIM[[#This Row],[残高増減（円）]]</f>
        <v>-371</v>
      </c>
      <c r="AJ25" t="s">
        <v>29</v>
      </c>
      <c r="AK25" t="s">
        <v>136</v>
      </c>
      <c r="AL25" t="s">
        <v>137</v>
      </c>
      <c r="AM25" s="14"/>
      <c r="AQ25" s="14">
        <f>ESPRIM[[#This Row],[残高増減（円）]]</f>
        <v>-371</v>
      </c>
      <c r="AS25" t="str">
        <f t="shared" si="2"/>
        <v>発注書PO-0008 洗濯タグ（pu）を工場に発送する国内送料(18元×20.63円/元)</v>
      </c>
      <c r="AT25" s="14" t="str">
        <f t="shared" si="1"/>
        <v>PO-0008</v>
      </c>
      <c r="AX25" s="1"/>
      <c r="BG25" t="s">
        <v>209</v>
      </c>
      <c r="BH25" t="s">
        <v>210</v>
      </c>
      <c r="BI25" t="s">
        <v>213</v>
      </c>
      <c r="BJ25" t="s">
        <v>211</v>
      </c>
    </row>
    <row r="26" spans="1:62" ht="18.5" customHeight="1" x14ac:dyDescent="0.55000000000000004">
      <c r="A26">
        <v>25</v>
      </c>
      <c r="B26" s="1">
        <v>45405</v>
      </c>
      <c r="C26" t="s">
        <v>89</v>
      </c>
      <c r="D26" t="s">
        <v>103</v>
      </c>
      <c r="F26">
        <v>2655</v>
      </c>
      <c r="G26">
        <v>1</v>
      </c>
      <c r="H26">
        <v>2655</v>
      </c>
      <c r="K26" s="17">
        <v>2655</v>
      </c>
      <c r="L26" s="4">
        <v>25275.798458555502</v>
      </c>
      <c r="M26" s="4"/>
      <c r="N26" s="6"/>
      <c r="O26" s="19">
        <v>20.63</v>
      </c>
      <c r="P26" s="5">
        <f>ROUND((ESPRIM[[#This Row],[入金額（元）]]-ESPRIM[[#This Row],[出金額（元）]])*ESPRIM[[#This Row],[為替レート]],0)</f>
        <v>-54773</v>
      </c>
      <c r="Q26" s="5">
        <f>IFERROR(Q25+ESPRIM[[#This Row],[残高増減（円）]],ESPRIM[[#This Row],[残高増減（円）]])</f>
        <v>521438</v>
      </c>
      <c r="R26" s="5" t="s">
        <v>146</v>
      </c>
      <c r="S26" t="s">
        <v>104</v>
      </c>
      <c r="T26" t="s">
        <v>209</v>
      </c>
      <c r="U26" t="s">
        <v>40</v>
      </c>
      <c r="V26" t="s">
        <v>215</v>
      </c>
      <c r="W26" t="s">
        <v>211</v>
      </c>
      <c r="X26" t="str">
        <f t="shared" si="0"/>
        <v>発注書PO-0011食事エプロン(2655元×20.63円/元)</v>
      </c>
      <c r="Y26" s="7" t="b">
        <v>1</v>
      </c>
      <c r="AA26" s="7" t="b">
        <v>1</v>
      </c>
      <c r="AB26" s="1">
        <f>ESPRIM[[#This Row],[日付]]</f>
        <v>45405</v>
      </c>
      <c r="AC26" t="s">
        <v>40</v>
      </c>
      <c r="AD26" t="s">
        <v>215</v>
      </c>
      <c r="AI26" s="14">
        <f>ESPRIM[[#This Row],[残高増減（円）]]</f>
        <v>-54773</v>
      </c>
      <c r="AJ26" t="s">
        <v>29</v>
      </c>
      <c r="AK26" t="s">
        <v>136</v>
      </c>
      <c r="AL26" t="s">
        <v>137</v>
      </c>
      <c r="AM26" s="14"/>
      <c r="AQ26" s="14">
        <f>ESPRIM[[#This Row],[残高増減（円）]]</f>
        <v>-54773</v>
      </c>
      <c r="AS26" t="str">
        <f t="shared" si="2"/>
        <v>発注書PO-0011食事エプロン(2655元×20.63円/元)</v>
      </c>
      <c r="AT26" s="14" t="str">
        <f t="shared" si="1"/>
        <v>PO-0011</v>
      </c>
      <c r="AU26" t="s">
        <v>156</v>
      </c>
      <c r="AX26" s="1"/>
      <c r="BG26" t="s">
        <v>209</v>
      </c>
      <c r="BH26" t="s">
        <v>40</v>
      </c>
      <c r="BI26" t="s">
        <v>215</v>
      </c>
      <c r="BJ26" t="s">
        <v>211</v>
      </c>
    </row>
    <row r="27" spans="1:62" ht="18.5" customHeight="1" x14ac:dyDescent="0.55000000000000004">
      <c r="A27" s="29">
        <v>26</v>
      </c>
      <c r="B27" s="30">
        <v>45425</v>
      </c>
      <c r="C27" s="29" t="s">
        <v>86</v>
      </c>
      <c r="D27" s="29" t="s">
        <v>105</v>
      </c>
      <c r="E27" s="29"/>
      <c r="F27" s="29">
        <v>110</v>
      </c>
      <c r="G27" s="29">
        <v>1</v>
      </c>
      <c r="H27" s="29">
        <v>110</v>
      </c>
      <c r="I27" s="29"/>
      <c r="J27" s="29"/>
      <c r="K27" s="31">
        <v>110</v>
      </c>
      <c r="L27" s="32">
        <v>25165.798458555502</v>
      </c>
      <c r="M27" s="33" t="s">
        <v>106</v>
      </c>
      <c r="N27" s="34">
        <v>26019111134</v>
      </c>
      <c r="O27" s="35">
        <v>20.63</v>
      </c>
      <c r="P27" s="36">
        <f>ROUND((ESPRIM[[#This Row],[入金額（元）]]-ESPRIM[[#This Row],[出金額（元）]])*ESPRIM[[#This Row],[為替レート]],0)</f>
        <v>-2269</v>
      </c>
      <c r="Q27" s="36">
        <f>IFERROR(Q26+ESPRIM[[#This Row],[残高増減（円）]],ESPRIM[[#This Row],[残高増減（円）]])</f>
        <v>519169</v>
      </c>
      <c r="R27" s="36" t="s">
        <v>141</v>
      </c>
      <c r="S27" s="29" t="s">
        <v>107</v>
      </c>
      <c r="T27" s="29" t="s">
        <v>209</v>
      </c>
      <c r="U27" s="29" t="s">
        <v>210</v>
      </c>
      <c r="V27" s="29"/>
      <c r="W27" s="29" t="s">
        <v>211</v>
      </c>
      <c r="X27" s="29" t="str">
        <f t="shared" si="0"/>
        <v>OCS PO-0008とPO-0009サンプル　合計1箱　2024.4.3(110元×20.63円/元)</v>
      </c>
      <c r="Y27" s="38" t="b">
        <v>1</v>
      </c>
      <c r="AA27" s="7" t="b">
        <v>1</v>
      </c>
      <c r="AB27" s="1">
        <f>ESPRIM[[#This Row],[日付]]</f>
        <v>45425</v>
      </c>
      <c r="AC27" t="s">
        <v>210</v>
      </c>
      <c r="AD27" t="s">
        <v>213</v>
      </c>
      <c r="AI27" s="14">
        <f>ESPRIM[[#This Row],[残高増減（円）]]</f>
        <v>-2269</v>
      </c>
      <c r="AJ27" t="s">
        <v>29</v>
      </c>
      <c r="AK27" t="s">
        <v>136</v>
      </c>
      <c r="AL27" t="s">
        <v>137</v>
      </c>
      <c r="AM27" s="14"/>
      <c r="AQ27" s="14">
        <f>ESPRIM[[#This Row],[残高増減（円）]]</f>
        <v>-2269</v>
      </c>
      <c r="AS27" t="str">
        <f t="shared" si="2"/>
        <v>OCS PO-0008とPO-0009サンプル　合計1箱　2024.4.3(110元×20.63円/元)</v>
      </c>
      <c r="AT27" s="14" t="str">
        <f t="shared" si="1"/>
        <v>PO-0008</v>
      </c>
      <c r="AX27" s="1"/>
      <c r="BG27" t="s">
        <v>209</v>
      </c>
      <c r="BH27" t="s">
        <v>210</v>
      </c>
      <c r="BI27" t="s">
        <v>213</v>
      </c>
      <c r="BJ27" t="s">
        <v>211</v>
      </c>
    </row>
    <row r="28" spans="1:62" ht="18.5" customHeight="1" x14ac:dyDescent="0.55000000000000004">
      <c r="A28" s="29">
        <v>27</v>
      </c>
      <c r="B28" s="30">
        <v>45425</v>
      </c>
      <c r="C28" s="29" t="s">
        <v>86</v>
      </c>
      <c r="D28" s="29" t="s">
        <v>105</v>
      </c>
      <c r="E28" s="29"/>
      <c r="F28" s="29">
        <v>74</v>
      </c>
      <c r="G28" s="29">
        <v>1</v>
      </c>
      <c r="H28" s="29">
        <v>74</v>
      </c>
      <c r="I28" s="29"/>
      <c r="J28" s="29"/>
      <c r="K28" s="31">
        <v>74</v>
      </c>
      <c r="L28" s="32">
        <v>25091.798458555502</v>
      </c>
      <c r="M28" s="33" t="s">
        <v>106</v>
      </c>
      <c r="N28" s="34">
        <v>26019111134</v>
      </c>
      <c r="O28" s="35">
        <v>20.63</v>
      </c>
      <c r="P28" s="36">
        <f>ROUND((ESPRIM[[#This Row],[入金額（元）]]-ESPRIM[[#This Row],[出金額（元）]])*ESPRIM[[#This Row],[為替レート]],0)</f>
        <v>-1527</v>
      </c>
      <c r="Q28" s="36">
        <f>IFERROR(Q27+ESPRIM[[#This Row],[残高増減（円）]],ESPRIM[[#This Row],[残高増減（円）]])</f>
        <v>517642</v>
      </c>
      <c r="R28" s="36" t="s">
        <v>140</v>
      </c>
      <c r="S28" s="29"/>
      <c r="T28" s="29" t="s">
        <v>209</v>
      </c>
      <c r="U28" s="29" t="s">
        <v>214</v>
      </c>
      <c r="V28" s="29"/>
      <c r="W28" s="29"/>
      <c r="X28" s="29" t="str">
        <f t="shared" si="0"/>
        <v>OCS PO-0008とPO-0009サンプル　合計1箱　2024.4.3(74元×20.63円/元)</v>
      </c>
      <c r="Y28" s="38" t="b">
        <v>1</v>
      </c>
      <c r="AA28" s="7" t="b">
        <v>1</v>
      </c>
      <c r="AB28" s="1">
        <f>ESPRIM[[#This Row],[日付]]</f>
        <v>45425</v>
      </c>
      <c r="AC28" t="s">
        <v>214</v>
      </c>
      <c r="AI28" s="14">
        <f>ESPRIM[[#This Row],[残高増減（円）]]</f>
        <v>-1527</v>
      </c>
      <c r="AJ28" t="s">
        <v>29</v>
      </c>
      <c r="AK28" t="s">
        <v>136</v>
      </c>
      <c r="AL28" t="s">
        <v>137</v>
      </c>
      <c r="AM28" s="14"/>
      <c r="AQ28" s="14">
        <f>ESPRIM[[#This Row],[残高増減（円）]]</f>
        <v>-1527</v>
      </c>
      <c r="AS28" t="str">
        <f>$D29&amp;"("&amp;$K29&amp;"元"&amp;"×"&amp;$O29&amp;"円/元)"</f>
        <v>発注書PO-0011食事エプロン検品9ｈ(225元×20.63円/元)</v>
      </c>
      <c r="AT28" s="14" t="str">
        <f>$R29</f>
        <v>PO-0011</v>
      </c>
      <c r="AU28" t="s">
        <v>156</v>
      </c>
      <c r="AX28" s="1"/>
      <c r="BG28" t="s">
        <v>209</v>
      </c>
      <c r="BH28" t="s">
        <v>214</v>
      </c>
    </row>
    <row r="29" spans="1:62" ht="18.5" customHeight="1" x14ac:dyDescent="0.55000000000000004">
      <c r="A29">
        <v>28</v>
      </c>
      <c r="B29" s="1">
        <v>45433</v>
      </c>
      <c r="C29" t="s">
        <v>108</v>
      </c>
      <c r="D29" t="s">
        <v>109</v>
      </c>
      <c r="F29">
        <v>25</v>
      </c>
      <c r="G29">
        <v>9</v>
      </c>
      <c r="H29">
        <v>225</v>
      </c>
      <c r="K29" s="17">
        <v>225</v>
      </c>
      <c r="L29" s="4">
        <v>24866.798458555502</v>
      </c>
      <c r="M29" s="4"/>
      <c r="N29" s="6"/>
      <c r="O29" s="19">
        <v>20.63</v>
      </c>
      <c r="P29" s="5">
        <f>ROUND((ESPRIM[[#This Row],[入金額（元）]]-ESPRIM[[#This Row],[出金額（元）]])*ESPRIM[[#This Row],[為替レート]],0)</f>
        <v>-4642</v>
      </c>
      <c r="Q29" s="5">
        <f>IFERROR(Q28+ESPRIM[[#This Row],[残高増減（円）]],ESPRIM[[#This Row],[残高増減（円）]])</f>
        <v>513000</v>
      </c>
      <c r="R29" s="5" t="s">
        <v>146</v>
      </c>
      <c r="T29" t="s">
        <v>209</v>
      </c>
      <c r="U29" t="s">
        <v>40</v>
      </c>
      <c r="V29" t="s">
        <v>216</v>
      </c>
      <c r="W29" t="s">
        <v>211</v>
      </c>
      <c r="X29" t="str">
        <f t="shared" si="0"/>
        <v>発注書PO-0011食事エプロン検品9ｈ(225元×20.63円/元)</v>
      </c>
      <c r="Y29" s="7" t="b">
        <v>1</v>
      </c>
      <c r="AA29" s="7" t="b">
        <v>1</v>
      </c>
      <c r="AB29" s="1">
        <f>ESPRIM[[#This Row],[日付]]</f>
        <v>45433</v>
      </c>
      <c r="AC29" t="s">
        <v>40</v>
      </c>
      <c r="AD29" t="s">
        <v>216</v>
      </c>
      <c r="AI29" s="14">
        <f>ESPRIM[[#This Row],[残高増減（円）]]</f>
        <v>-4642</v>
      </c>
      <c r="AJ29" t="s">
        <v>29</v>
      </c>
      <c r="AK29" t="s">
        <v>136</v>
      </c>
      <c r="AL29" t="s">
        <v>137</v>
      </c>
      <c r="AM29" s="14"/>
      <c r="AQ29" s="14">
        <f>ESPRIM[[#This Row],[残高増減（円）]]</f>
        <v>-4642</v>
      </c>
      <c r="AS29" t="str">
        <f>$D30&amp;"("&amp;$K30&amp;"元"&amp;"×"&amp;$O30&amp;"円/元)"</f>
        <v>PO-0010 パッケージ箱OEM(1030元×20.63円/元)</v>
      </c>
      <c r="AT29" s="14" t="str">
        <f>$R30</f>
        <v>PO-0010</v>
      </c>
      <c r="AX29" s="1"/>
      <c r="BG29" t="s">
        <v>209</v>
      </c>
      <c r="BH29" t="s">
        <v>40</v>
      </c>
      <c r="BI29" t="s">
        <v>216</v>
      </c>
      <c r="BJ29" t="s">
        <v>211</v>
      </c>
    </row>
    <row r="30" spans="1:62" ht="18.5" customHeight="1" x14ac:dyDescent="0.55000000000000004">
      <c r="A30">
        <v>29</v>
      </c>
      <c r="B30" s="1">
        <v>45435</v>
      </c>
      <c r="C30" t="s">
        <v>89</v>
      </c>
      <c r="D30" t="s">
        <v>110</v>
      </c>
      <c r="F30">
        <v>1030</v>
      </c>
      <c r="G30">
        <v>1</v>
      </c>
      <c r="H30">
        <v>1030</v>
      </c>
      <c r="K30" s="17">
        <v>1030</v>
      </c>
      <c r="L30" s="4">
        <v>23836.798458555502</v>
      </c>
      <c r="M30" s="4"/>
      <c r="N30" s="6"/>
      <c r="O30" s="19">
        <v>20.63</v>
      </c>
      <c r="P30" s="5">
        <f>ROUND((ESPRIM[[#This Row],[入金額（元）]]-ESPRIM[[#This Row],[出金額（元）]])*ESPRIM[[#This Row],[為替レート]],0)</f>
        <v>-21249</v>
      </c>
      <c r="Q30" s="5">
        <f>IFERROR(Q29+ESPRIM[[#This Row],[残高増減（円）]],ESPRIM[[#This Row],[残高増減（円）]])</f>
        <v>491751</v>
      </c>
      <c r="R30" s="5" t="s">
        <v>147</v>
      </c>
      <c r="T30" t="s">
        <v>209</v>
      </c>
      <c r="U30" t="s">
        <v>214</v>
      </c>
      <c r="X30" t="str">
        <f t="shared" si="0"/>
        <v>PO-0010 パッケージ箱OEM(1030元×20.63円/元)</v>
      </c>
      <c r="Y30" s="7" t="b">
        <v>1</v>
      </c>
      <c r="AA30" s="7" t="b">
        <v>1</v>
      </c>
      <c r="AB30" s="1">
        <f>ESPRIM[[#This Row],[日付]]</f>
        <v>45435</v>
      </c>
      <c r="AC30" t="s">
        <v>214</v>
      </c>
      <c r="AI30" s="14">
        <f>ESPRIM[[#This Row],[残高増減（円）]]</f>
        <v>-21249</v>
      </c>
      <c r="AJ30" t="s">
        <v>29</v>
      </c>
      <c r="AK30" t="s">
        <v>136</v>
      </c>
      <c r="AL30" t="s">
        <v>137</v>
      </c>
      <c r="AM30" s="14"/>
      <c r="AQ30" s="14">
        <f>ESPRIM[[#This Row],[残高増減（円）]]</f>
        <v>-21249</v>
      </c>
      <c r="AS30" t="str">
        <f>$D31&amp;"("&amp;$K31&amp;"元"&amp;"×"&amp;$O31&amp;"円/元)"</f>
        <v>PO-0011の13個とPO-0010の検品梱包2ｈ(5元×20.63円/元)</v>
      </c>
      <c r="AT30" s="14" t="str">
        <f>$R31</f>
        <v>PO-0011</v>
      </c>
      <c r="AX30" s="1"/>
      <c r="BG30" t="s">
        <v>209</v>
      </c>
      <c r="BH30" t="s">
        <v>214</v>
      </c>
    </row>
    <row r="31" spans="1:62" ht="18.5" customHeight="1" x14ac:dyDescent="0.55000000000000004">
      <c r="A31" s="29">
        <v>30</v>
      </c>
      <c r="B31" s="30">
        <v>45457</v>
      </c>
      <c r="C31" s="29" t="s">
        <v>108</v>
      </c>
      <c r="D31" s="29" t="s">
        <v>111</v>
      </c>
      <c r="E31" s="29"/>
      <c r="F31" s="29">
        <v>25</v>
      </c>
      <c r="G31" s="29">
        <v>0.2</v>
      </c>
      <c r="H31" s="29">
        <v>5</v>
      </c>
      <c r="I31" s="29"/>
      <c r="J31" s="29"/>
      <c r="K31" s="31">
        <v>5</v>
      </c>
      <c r="L31" s="32">
        <v>23831.798458555502</v>
      </c>
      <c r="M31" s="32"/>
      <c r="N31" s="34"/>
      <c r="O31" s="35">
        <v>20.63</v>
      </c>
      <c r="P31" s="36">
        <f>ROUND((ESPRIM[[#This Row],[入金額（元）]]-ESPRIM[[#This Row],[出金額（元）]])*ESPRIM[[#This Row],[為替レート]],0)</f>
        <v>-103</v>
      </c>
      <c r="Q31" s="36">
        <f>IFERROR(Q30+ESPRIM[[#This Row],[残高増減（円）]],ESPRIM[[#This Row],[残高増減（円）]])</f>
        <v>491648</v>
      </c>
      <c r="R31" s="36" t="s">
        <v>146</v>
      </c>
      <c r="S31" s="29" t="s">
        <v>112</v>
      </c>
      <c r="T31" s="29" t="s">
        <v>209</v>
      </c>
      <c r="U31" s="29" t="s">
        <v>40</v>
      </c>
      <c r="V31" s="29" t="s">
        <v>216</v>
      </c>
      <c r="W31" s="29" t="s">
        <v>211</v>
      </c>
      <c r="X31" s="29" t="str">
        <f t="shared" si="0"/>
        <v>PO-0011の13個とPO-0010の検品梱包2ｈ(5元×20.63円/元)</v>
      </c>
      <c r="Y31" s="38" t="b">
        <v>1</v>
      </c>
      <c r="AA31" s="7" t="b">
        <v>1</v>
      </c>
      <c r="AB31" s="1">
        <f>ESPRIM[[#This Row],[日付]]</f>
        <v>45457</v>
      </c>
      <c r="AC31" t="s">
        <v>40</v>
      </c>
      <c r="AD31" t="s">
        <v>216</v>
      </c>
      <c r="AI31" s="14">
        <v>650</v>
      </c>
      <c r="AJ31" t="s">
        <v>29</v>
      </c>
      <c r="AK31" t="s">
        <v>163</v>
      </c>
      <c r="AM31" s="14"/>
      <c r="AQ31" s="14">
        <v>650</v>
      </c>
      <c r="AS31" t="str">
        <f>$D33&amp;"("&amp;$J33&amp;"元"&amp;"×"&amp;$O33&amp;"円/元)"</f>
        <v>PO-0011の3個食事エプロン返金(31.5元×20.63円/元)</v>
      </c>
      <c r="AT31" s="14" t="str">
        <f>$R33</f>
        <v>PO-0011</v>
      </c>
      <c r="AX31" s="1"/>
      <c r="BG31" t="s">
        <v>209</v>
      </c>
      <c r="BH31" t="s">
        <v>40</v>
      </c>
      <c r="BI31" t="s">
        <v>216</v>
      </c>
      <c r="BJ31" t="s">
        <v>211</v>
      </c>
    </row>
    <row r="32" spans="1:62" ht="18.5" customHeight="1" x14ac:dyDescent="0.55000000000000004">
      <c r="A32" s="29">
        <v>31</v>
      </c>
      <c r="B32" s="30">
        <v>45457</v>
      </c>
      <c r="C32" s="29" t="s">
        <v>108</v>
      </c>
      <c r="D32" s="29" t="s">
        <v>111</v>
      </c>
      <c r="E32" s="29"/>
      <c r="F32" s="29">
        <v>25</v>
      </c>
      <c r="G32" s="29">
        <v>1.8</v>
      </c>
      <c r="H32" s="29">
        <v>45</v>
      </c>
      <c r="I32" s="29"/>
      <c r="J32" s="29"/>
      <c r="K32" s="31">
        <v>45</v>
      </c>
      <c r="L32" s="32">
        <v>23786.798458555502</v>
      </c>
      <c r="M32" s="32"/>
      <c r="N32" s="34"/>
      <c r="O32" s="35">
        <v>20.63</v>
      </c>
      <c r="P32" s="36">
        <f>ROUND((ESPRIM[[#This Row],[入金額（元）]]-ESPRIM[[#This Row],[出金額（元）]])*ESPRIM[[#This Row],[為替レート]],0)</f>
        <v>-928</v>
      </c>
      <c r="Q32" s="36">
        <f>IFERROR(Q31+ESPRIM[[#This Row],[残高増減（円）]],ESPRIM[[#This Row],[残高増減（円）]])</f>
        <v>490720</v>
      </c>
      <c r="R32" s="36" t="s">
        <v>147</v>
      </c>
      <c r="S32" s="29"/>
      <c r="T32" s="29" t="s">
        <v>209</v>
      </c>
      <c r="U32" s="29" t="s">
        <v>214</v>
      </c>
      <c r="V32" s="29"/>
      <c r="W32" s="29"/>
      <c r="X32" s="29" t="str">
        <f t="shared" si="0"/>
        <v>PO-0011の13個とPO-0010の検品梱包2ｈ(45元×20.63円/元)</v>
      </c>
      <c r="Y32" s="38" t="b">
        <v>1</v>
      </c>
      <c r="AA32" s="7" t="b">
        <v>1</v>
      </c>
      <c r="AB32" s="1">
        <f>ESPRIM[[#This Row],[日付]]</f>
        <v>45457</v>
      </c>
      <c r="AC32" t="s">
        <v>214</v>
      </c>
      <c r="AI32" s="14">
        <f>ESPRIM[[#This Row],[残高増減（円）]]</f>
        <v>-928</v>
      </c>
      <c r="AJ32" t="s">
        <v>29</v>
      </c>
      <c r="AK32" t="s">
        <v>136</v>
      </c>
      <c r="AL32" t="s">
        <v>137</v>
      </c>
      <c r="AM32" s="14"/>
      <c r="AQ32" s="14">
        <f>ESPRIM[[#This Row],[残高増減（円）]]</f>
        <v>-928</v>
      </c>
      <c r="AS32" t="str">
        <f>$D34&amp;"("&amp;$K34&amp;"元"&amp;"×"&amp;$O34&amp;"円/元)"</f>
        <v>PO-0012_発注書_PUお食事エプロン（洗濯タグ取り付け、3DポケットOEM）150個(1595元×20.63円/元)</v>
      </c>
      <c r="AT32" s="14" t="str">
        <f>$R34</f>
        <v>PO-0012</v>
      </c>
      <c r="AU32" t="s">
        <v>156</v>
      </c>
      <c r="AX32" s="1"/>
      <c r="BG32" t="s">
        <v>209</v>
      </c>
      <c r="BH32" t="s">
        <v>214</v>
      </c>
    </row>
    <row r="33" spans="1:62" ht="18.5" customHeight="1" x14ac:dyDescent="0.55000000000000004">
      <c r="A33">
        <v>32</v>
      </c>
      <c r="B33" s="1">
        <v>45460</v>
      </c>
      <c r="C33" t="s">
        <v>72</v>
      </c>
      <c r="D33" t="s">
        <v>113</v>
      </c>
      <c r="H33">
        <v>0</v>
      </c>
      <c r="J33">
        <v>31.5</v>
      </c>
      <c r="K33" s="17">
        <v>0</v>
      </c>
      <c r="L33" s="4">
        <v>23818.298458555502</v>
      </c>
      <c r="M33" s="4"/>
      <c r="N33" s="6"/>
      <c r="O33" s="19">
        <v>20.63</v>
      </c>
      <c r="P33" s="5">
        <f>ROUND((ESPRIM[[#This Row],[入金額（元）]]-ESPRIM[[#This Row],[出金額（元）]])*ESPRIM[[#This Row],[為替レート]],0)</f>
        <v>650</v>
      </c>
      <c r="Q33" s="5">
        <f>IFERROR(Q32+ESPRIM[[#This Row],[残高増減（円）]],ESPRIM[[#This Row],[残高増減（円）]])</f>
        <v>491370</v>
      </c>
      <c r="R33" s="5" t="s">
        <v>146</v>
      </c>
      <c r="S33" t="s">
        <v>112</v>
      </c>
      <c r="T33" t="s">
        <v>208</v>
      </c>
      <c r="U33" t="s">
        <v>40</v>
      </c>
      <c r="V33" t="s">
        <v>215</v>
      </c>
      <c r="W33" t="s">
        <v>211</v>
      </c>
      <c r="X33" t="str">
        <f t="shared" si="0"/>
        <v>PO-0011の3個食事エプロン返金(0元×20.63円/元)</v>
      </c>
      <c r="Y33" s="7" t="b">
        <v>1</v>
      </c>
      <c r="AA33" s="7" t="b">
        <v>1</v>
      </c>
      <c r="AB33" s="1">
        <f>ESPRIM[[#This Row],[日付]]</f>
        <v>45460</v>
      </c>
      <c r="AC33" t="s">
        <v>40</v>
      </c>
      <c r="AD33" t="s">
        <v>215</v>
      </c>
      <c r="AI33" s="14">
        <f>ESPRIM[[#This Row],[残高増減（円）]]</f>
        <v>650</v>
      </c>
      <c r="AJ33" t="s">
        <v>29</v>
      </c>
      <c r="AK33" t="s">
        <v>136</v>
      </c>
      <c r="AL33" t="s">
        <v>137</v>
      </c>
      <c r="AM33" s="14"/>
      <c r="AQ33" s="14">
        <f>ESPRIM[[#This Row],[残高増減（円）]]</f>
        <v>650</v>
      </c>
      <c r="AS33" t="str">
        <f>$D35&amp;"("&amp;$K35&amp;"元"&amp;"×"&amp;$O35&amp;"円/元)"</f>
        <v>OCS PO-0011　PUお食事エプロン　1箱2024.6.4.(534元×20.63円/元)</v>
      </c>
      <c r="AT33" s="14" t="str">
        <f>$R35</f>
        <v>PO-0011</v>
      </c>
      <c r="AU33" t="s">
        <v>157</v>
      </c>
      <c r="AX33" s="1"/>
      <c r="BG33" t="s">
        <v>208</v>
      </c>
      <c r="BH33" t="s">
        <v>40</v>
      </c>
      <c r="BI33" t="s">
        <v>215</v>
      </c>
      <c r="BJ33" t="s">
        <v>211</v>
      </c>
    </row>
    <row r="34" spans="1:62" ht="18.5" customHeight="1" x14ac:dyDescent="0.55000000000000004">
      <c r="A34">
        <v>33</v>
      </c>
      <c r="B34" s="1">
        <v>45484</v>
      </c>
      <c r="C34" t="s">
        <v>89</v>
      </c>
      <c r="D34" t="s">
        <v>114</v>
      </c>
      <c r="F34">
        <v>1595</v>
      </c>
      <c r="G34">
        <v>1</v>
      </c>
      <c r="H34">
        <v>1595</v>
      </c>
      <c r="K34" s="17">
        <v>1595</v>
      </c>
      <c r="L34" s="4">
        <v>22223.298458555502</v>
      </c>
      <c r="M34" s="4"/>
      <c r="N34" s="6"/>
      <c r="O34" s="19">
        <v>20.63</v>
      </c>
      <c r="P34" s="5">
        <f>ROUND((ESPRIM[[#This Row],[入金額（元）]]-ESPRIM[[#This Row],[出金額（元）]])*ESPRIM[[#This Row],[為替レート]],0)</f>
        <v>-32905</v>
      </c>
      <c r="Q34" s="5">
        <f>IFERROR(Q33+ESPRIM[[#This Row],[残高増減（円）]],ESPRIM[[#This Row],[残高増減（円）]])</f>
        <v>458465</v>
      </c>
      <c r="R34" s="5" t="s">
        <v>148</v>
      </c>
      <c r="T34" t="s">
        <v>209</v>
      </c>
      <c r="U34" t="s">
        <v>40</v>
      </c>
      <c r="V34" t="s">
        <v>215</v>
      </c>
      <c r="W34" t="s">
        <v>211</v>
      </c>
      <c r="X34" t="str">
        <f t="shared" ref="X34:X65" si="3">$D34&amp;"("&amp;$K34&amp;"元"&amp;"×"&amp;$O34&amp;"円/元)"</f>
        <v>PO-0012_発注書_PUお食事エプロン（洗濯タグ取り付け、3DポケットOEM）150個(1595元×20.63円/元)</v>
      </c>
      <c r="Y34" s="7" t="b">
        <v>1</v>
      </c>
      <c r="AA34" s="7" t="b">
        <v>1</v>
      </c>
      <c r="AB34" s="1">
        <f>ESPRIM[[#This Row],[日付]]</f>
        <v>45484</v>
      </c>
      <c r="AC34" t="s">
        <v>40</v>
      </c>
      <c r="AD34" t="s">
        <v>215</v>
      </c>
      <c r="AI34" s="14">
        <f>ESPRIM[[#This Row],[残高増減（円）]]</f>
        <v>-32905</v>
      </c>
      <c r="AJ34" t="s">
        <v>29</v>
      </c>
      <c r="AK34" t="s">
        <v>136</v>
      </c>
      <c r="AL34" t="s">
        <v>137</v>
      </c>
      <c r="AM34" s="14"/>
      <c r="AQ34" s="14">
        <f>ESPRIM[[#This Row],[残高増減（円）]]</f>
        <v>-32905</v>
      </c>
      <c r="AS34" t="str">
        <f>$D36&amp;"("&amp;$K36&amp;"元"&amp;"×"&amp;$O36&amp;"円/元)"</f>
        <v>OCS PO-0011の13個+PO-0010の500個 1箱 2024.6.17(52元×20.63円/元)</v>
      </c>
      <c r="AT34" s="14" t="str">
        <f>$R36</f>
        <v>PO-0011</v>
      </c>
      <c r="AU34" t="s">
        <v>157</v>
      </c>
      <c r="AX34" s="1"/>
      <c r="BG34" t="s">
        <v>209</v>
      </c>
      <c r="BH34" t="s">
        <v>40</v>
      </c>
      <c r="BI34" t="s">
        <v>215</v>
      </c>
      <c r="BJ34" t="s">
        <v>211</v>
      </c>
    </row>
    <row r="35" spans="1:62" ht="18.5" customHeight="1" x14ac:dyDescent="0.55000000000000004">
      <c r="A35">
        <v>34</v>
      </c>
      <c r="B35" s="1">
        <v>45491</v>
      </c>
      <c r="C35" t="s">
        <v>86</v>
      </c>
      <c r="D35" t="s">
        <v>184</v>
      </c>
      <c r="F35">
        <v>534</v>
      </c>
      <c r="G35">
        <v>1</v>
      </c>
      <c r="H35">
        <v>534</v>
      </c>
      <c r="K35" s="17">
        <v>534</v>
      </c>
      <c r="L35" s="4">
        <v>21689.298458555502</v>
      </c>
      <c r="M35" s="8" t="s">
        <v>115</v>
      </c>
      <c r="N35" s="6">
        <v>26019113411</v>
      </c>
      <c r="O35" s="19">
        <v>20.63</v>
      </c>
      <c r="P35" s="5">
        <f>ROUND((ESPRIM[[#This Row],[入金額（元）]]-ESPRIM[[#This Row],[出金額（元）]])*ESPRIM[[#This Row],[為替レート]],0)</f>
        <v>-11016</v>
      </c>
      <c r="Q35" s="5">
        <f>IFERROR(Q34+ESPRIM[[#This Row],[残高増減（円）]],ESPRIM[[#This Row],[残高増減（円）]])</f>
        <v>447449</v>
      </c>
      <c r="R35" s="5" t="s">
        <v>146</v>
      </c>
      <c r="S35" t="s">
        <v>112</v>
      </c>
      <c r="T35" t="s">
        <v>209</v>
      </c>
      <c r="U35" t="s">
        <v>40</v>
      </c>
      <c r="V35" t="s">
        <v>217</v>
      </c>
      <c r="W35" t="s">
        <v>211</v>
      </c>
      <c r="X35" t="str">
        <f t="shared" si="3"/>
        <v>OCS PO-0011　PUお食事エプロン　1箱2024.6.4.(534元×20.63円/元)</v>
      </c>
      <c r="Y35" s="7" t="b">
        <v>1</v>
      </c>
      <c r="AA35" s="7" t="b">
        <v>1</v>
      </c>
      <c r="AB35" s="1">
        <f>ESPRIM[[#This Row],[日付]]</f>
        <v>45491</v>
      </c>
      <c r="AC35" t="s">
        <v>40</v>
      </c>
      <c r="AD35" t="s">
        <v>217</v>
      </c>
      <c r="AI35" s="14">
        <f>ESPRIM[[#This Row],[残高増減（円）]]</f>
        <v>-11016</v>
      </c>
      <c r="AJ35" t="s">
        <v>29</v>
      </c>
      <c r="AK35" t="s">
        <v>136</v>
      </c>
      <c r="AL35" t="s">
        <v>137</v>
      </c>
      <c r="AM35" s="14"/>
      <c r="AQ35" s="14">
        <f>ESPRIM[[#This Row],[残高増減（円）]]</f>
        <v>-11016</v>
      </c>
      <c r="AS35" t="str">
        <f t="shared" ref="AS35:AS50" si="4">$D38&amp;"("&amp;$K38&amp;"元"&amp;"×"&amp;$O38&amp;"円/元)"</f>
        <v>PO-0013_発注書（ポリウレタン生地用 洗濯タグ2000個）(280元×20.63円/元)</v>
      </c>
      <c r="AT35" s="14" t="str">
        <f t="shared" ref="AT35:AT50" si="5">$R38</f>
        <v>PO-0013</v>
      </c>
      <c r="AU35" t="s">
        <v>156</v>
      </c>
      <c r="AX35" s="1"/>
      <c r="BG35" t="s">
        <v>209</v>
      </c>
      <c r="BH35" t="s">
        <v>40</v>
      </c>
      <c r="BI35" t="s">
        <v>217</v>
      </c>
      <c r="BJ35" t="s">
        <v>211</v>
      </c>
    </row>
    <row r="36" spans="1:62" ht="18.5" customHeight="1" x14ac:dyDescent="0.55000000000000004">
      <c r="A36" s="29">
        <v>35</v>
      </c>
      <c r="B36" s="30">
        <v>45491</v>
      </c>
      <c r="C36" s="29" t="s">
        <v>86</v>
      </c>
      <c r="D36" s="29" t="s">
        <v>116</v>
      </c>
      <c r="E36" s="29"/>
      <c r="F36" s="29">
        <v>52</v>
      </c>
      <c r="G36" s="29">
        <v>1</v>
      </c>
      <c r="H36" s="29">
        <v>52</v>
      </c>
      <c r="I36" s="29"/>
      <c r="J36" s="29"/>
      <c r="K36" s="31">
        <v>52</v>
      </c>
      <c r="L36" s="32">
        <v>21637.298458555502</v>
      </c>
      <c r="M36" s="33" t="s">
        <v>117</v>
      </c>
      <c r="N36" s="34">
        <v>26019113595</v>
      </c>
      <c r="O36" s="35">
        <v>20.63</v>
      </c>
      <c r="P36" s="36">
        <f>ROUND((ESPRIM[[#This Row],[入金額（元）]]-ESPRIM[[#This Row],[出金額（元）]])*ESPRIM[[#This Row],[為替レート]],0)</f>
        <v>-1073</v>
      </c>
      <c r="Q36" s="36">
        <f>IFERROR(Q35+ESPRIM[[#This Row],[残高増減（円）]],ESPRIM[[#This Row],[残高増減（円）]])</f>
        <v>446376</v>
      </c>
      <c r="R36" s="36" t="s">
        <v>146</v>
      </c>
      <c r="S36" s="29"/>
      <c r="T36" s="29" t="s">
        <v>209</v>
      </c>
      <c r="U36" s="29" t="s">
        <v>40</v>
      </c>
      <c r="V36" s="29" t="s">
        <v>217</v>
      </c>
      <c r="W36" s="29" t="s">
        <v>211</v>
      </c>
      <c r="X36" s="29" t="str">
        <f t="shared" si="3"/>
        <v>OCS PO-0011の13個+PO-0010の500個 1箱 2024.6.17(52元×20.63円/元)</v>
      </c>
      <c r="Y36" s="38" t="b">
        <v>1</v>
      </c>
      <c r="AA36" s="7" t="b">
        <v>1</v>
      </c>
      <c r="AB36" s="1">
        <f>ESPRIM[[#This Row],[日付]]</f>
        <v>45491</v>
      </c>
      <c r="AC36" t="s">
        <v>40</v>
      </c>
      <c r="AD36" t="s">
        <v>217</v>
      </c>
      <c r="AI36" s="14">
        <f>ESPRIM[[#This Row],[残高増減（円）]]</f>
        <v>-1073</v>
      </c>
      <c r="AJ36" t="s">
        <v>29</v>
      </c>
      <c r="AK36" t="s">
        <v>136</v>
      </c>
      <c r="AL36" t="s">
        <v>137</v>
      </c>
      <c r="AM36" s="14"/>
      <c r="AQ36" s="14">
        <f>ESPRIM[[#This Row],[残高増減（円）]]</f>
        <v>-1073</v>
      </c>
      <c r="AS36" t="str">
        <f t="shared" si="4"/>
        <v>PO-0014_発注書_PUお食事エプロン（洗濯タグ取り付け、3DポケットOEM）6色×50個(3185元×20.63円/元)</v>
      </c>
      <c r="AT36" s="14" t="str">
        <f t="shared" si="5"/>
        <v>PO-0014</v>
      </c>
      <c r="AU36" t="s">
        <v>156</v>
      </c>
      <c r="AX36" s="1"/>
      <c r="BG36" t="s">
        <v>209</v>
      </c>
      <c r="BH36" t="s">
        <v>40</v>
      </c>
      <c r="BI36" t="s">
        <v>217</v>
      </c>
      <c r="BJ36" t="s">
        <v>211</v>
      </c>
    </row>
    <row r="37" spans="1:62" ht="18.5" customHeight="1" x14ac:dyDescent="0.55000000000000004">
      <c r="A37" s="29">
        <v>36</v>
      </c>
      <c r="B37" s="30">
        <v>45491</v>
      </c>
      <c r="C37" s="29" t="s">
        <v>86</v>
      </c>
      <c r="D37" s="29" t="s">
        <v>116</v>
      </c>
      <c r="E37" s="29"/>
      <c r="F37" s="29">
        <v>390</v>
      </c>
      <c r="G37" s="29">
        <v>1</v>
      </c>
      <c r="H37" s="29">
        <v>390</v>
      </c>
      <c r="I37" s="29"/>
      <c r="J37" s="29"/>
      <c r="K37" s="31">
        <v>390</v>
      </c>
      <c r="L37" s="32">
        <v>21247.298458555502</v>
      </c>
      <c r="M37" s="33" t="s">
        <v>117</v>
      </c>
      <c r="N37" s="34">
        <v>26019113595</v>
      </c>
      <c r="O37" s="35">
        <v>20.63</v>
      </c>
      <c r="P37" s="36">
        <f>ROUND((ESPRIM[[#This Row],[入金額（元）]]-ESPRIM[[#This Row],[出金額（元）]])*ESPRIM[[#This Row],[為替レート]],0)</f>
        <v>-8046</v>
      </c>
      <c r="Q37" s="36">
        <f>IFERROR(Q36+ESPRIM[[#This Row],[残高増減（円）]],ESPRIM[[#This Row],[残高増減（円）]])</f>
        <v>438330</v>
      </c>
      <c r="R37" s="36" t="s">
        <v>147</v>
      </c>
      <c r="S37" s="29"/>
      <c r="T37" s="29" t="s">
        <v>209</v>
      </c>
      <c r="U37" s="29" t="s">
        <v>214</v>
      </c>
      <c r="V37" s="29"/>
      <c r="W37" s="29"/>
      <c r="X37" s="29" t="str">
        <f t="shared" si="3"/>
        <v>OCS PO-0011の13個+PO-0010の500個 1箱 2024.6.17(390元×20.63円/元)</v>
      </c>
      <c r="Y37" s="38" t="b">
        <v>1</v>
      </c>
      <c r="AA37" s="7" t="b">
        <v>1</v>
      </c>
      <c r="AB37" s="1">
        <f>ESPRIM[[#This Row],[日付]]</f>
        <v>45491</v>
      </c>
      <c r="AC37" t="s">
        <v>214</v>
      </c>
      <c r="AI37" s="14">
        <f>ESPRIM[[#This Row],[残高増減（円）]]</f>
        <v>-8046</v>
      </c>
      <c r="AJ37" t="s">
        <v>29</v>
      </c>
      <c r="AK37" t="s">
        <v>136</v>
      </c>
      <c r="AL37" t="s">
        <v>137</v>
      </c>
      <c r="AM37" s="14"/>
      <c r="AQ37" s="14">
        <f>ESPRIM[[#This Row],[残高増減（円）]]</f>
        <v>-8046</v>
      </c>
      <c r="AS37" t="str">
        <f t="shared" si="4"/>
        <v>PO-0012_発注書_PUお食事エプロン（洗濯タグ取り付け、3DポケットOEM）150個 検品17ｈ(425元×20.63円/元)</v>
      </c>
      <c r="AT37" s="14" t="str">
        <f t="shared" si="5"/>
        <v>PO-0012</v>
      </c>
      <c r="AU37" t="s">
        <v>156</v>
      </c>
      <c r="AX37" s="1"/>
      <c r="BG37" t="s">
        <v>209</v>
      </c>
      <c r="BH37" t="s">
        <v>214</v>
      </c>
    </row>
    <row r="38" spans="1:62" ht="18.5" customHeight="1" x14ac:dyDescent="0.55000000000000004">
      <c r="A38">
        <v>37</v>
      </c>
      <c r="B38" s="1">
        <v>45504</v>
      </c>
      <c r="C38" t="s">
        <v>89</v>
      </c>
      <c r="D38" t="s">
        <v>118</v>
      </c>
      <c r="F38">
        <v>280</v>
      </c>
      <c r="G38">
        <v>1</v>
      </c>
      <c r="H38">
        <v>280</v>
      </c>
      <c r="K38" s="17">
        <v>280</v>
      </c>
      <c r="L38" s="4">
        <v>20967.298458555502</v>
      </c>
      <c r="M38" s="4"/>
      <c r="N38" s="6"/>
      <c r="O38" s="19">
        <v>20.63</v>
      </c>
      <c r="P38" s="5">
        <f>ROUND((ESPRIM[[#This Row],[入金額（元）]]-ESPRIM[[#This Row],[出金額（元）]])*ESPRIM[[#This Row],[為替レート]],0)</f>
        <v>-5776</v>
      </c>
      <c r="Q38" s="5">
        <f>IFERROR(Q37+ESPRIM[[#This Row],[残高増減（円）]],ESPRIM[[#This Row],[残高増減（円）]])</f>
        <v>432554</v>
      </c>
      <c r="R38" s="5" t="s">
        <v>149</v>
      </c>
      <c r="T38" t="s">
        <v>209</v>
      </c>
      <c r="U38" t="s">
        <v>40</v>
      </c>
      <c r="V38" t="s">
        <v>212</v>
      </c>
      <c r="W38" t="s">
        <v>211</v>
      </c>
      <c r="X38" t="str">
        <f t="shared" si="3"/>
        <v>PO-0013_発注書（ポリウレタン生地用 洗濯タグ2000個）(280元×20.63円/元)</v>
      </c>
      <c r="Y38" s="7" t="b">
        <v>1</v>
      </c>
      <c r="AA38" s="7" t="b">
        <v>1</v>
      </c>
      <c r="AB38" s="1">
        <f>ESPRIM[[#This Row],[日付]]</f>
        <v>45504</v>
      </c>
      <c r="AC38" t="s">
        <v>40</v>
      </c>
      <c r="AD38" t="s">
        <v>212</v>
      </c>
      <c r="AI38" s="14">
        <f>ESPRIM[[#This Row],[残高増減（円）]]</f>
        <v>-5776</v>
      </c>
      <c r="AJ38" t="s">
        <v>29</v>
      </c>
      <c r="AK38" t="s">
        <v>136</v>
      </c>
      <c r="AL38" t="s">
        <v>137</v>
      </c>
      <c r="AM38" s="14"/>
      <c r="AQ38" s="14">
        <f>ESPRIM[[#This Row],[残高増減（円）]]</f>
        <v>-5776</v>
      </c>
      <c r="AS38" t="str">
        <f t="shared" si="4"/>
        <v>300個洗濯タグを工場に発送する国内送料（pu）(8元×20.63円/元)</v>
      </c>
      <c r="AT38" s="14" t="str">
        <f t="shared" si="5"/>
        <v>PO-0014</v>
      </c>
      <c r="AU38" t="s">
        <v>156</v>
      </c>
      <c r="AX38" s="1"/>
      <c r="BG38" t="s">
        <v>209</v>
      </c>
      <c r="BH38" t="s">
        <v>40</v>
      </c>
      <c r="BI38" t="s">
        <v>212</v>
      </c>
      <c r="BJ38" t="s">
        <v>211</v>
      </c>
    </row>
    <row r="39" spans="1:62" ht="18.5" customHeight="1" x14ac:dyDescent="0.55000000000000004">
      <c r="A39">
        <v>38</v>
      </c>
      <c r="B39" s="1">
        <v>45504</v>
      </c>
      <c r="C39" t="s">
        <v>89</v>
      </c>
      <c r="D39" t="s">
        <v>119</v>
      </c>
      <c r="F39">
        <v>3185</v>
      </c>
      <c r="G39">
        <v>1</v>
      </c>
      <c r="H39">
        <v>3185</v>
      </c>
      <c r="K39" s="17">
        <v>3185</v>
      </c>
      <c r="L39" s="4">
        <v>17782.298458555502</v>
      </c>
      <c r="M39" s="4"/>
      <c r="N39" s="6"/>
      <c r="O39" s="19">
        <v>20.63</v>
      </c>
      <c r="P39" s="5">
        <f>ROUND((ESPRIM[[#This Row],[入金額（元）]]-ESPRIM[[#This Row],[出金額（元）]])*ESPRIM[[#This Row],[為替レート]],0)</f>
        <v>-65707</v>
      </c>
      <c r="Q39" s="5">
        <f>IFERROR(Q38+ESPRIM[[#This Row],[残高増減（円）]],ESPRIM[[#This Row],[残高増減（円）]])</f>
        <v>366847</v>
      </c>
      <c r="R39" s="5" t="s">
        <v>150</v>
      </c>
      <c r="T39" t="s">
        <v>209</v>
      </c>
      <c r="U39" t="s">
        <v>40</v>
      </c>
      <c r="V39" t="s">
        <v>215</v>
      </c>
      <c r="W39" t="s">
        <v>211</v>
      </c>
      <c r="X39" t="str">
        <f t="shared" si="3"/>
        <v>PO-0014_発注書_PUお食事エプロン（洗濯タグ取り付け、3DポケットOEM）6色×50個(3185元×20.63円/元)</v>
      </c>
      <c r="Y39" s="7" t="b">
        <v>1</v>
      </c>
      <c r="AA39" s="7" t="b">
        <v>1</v>
      </c>
      <c r="AB39" s="1">
        <f>ESPRIM[[#This Row],[日付]]</f>
        <v>45504</v>
      </c>
      <c r="AC39" t="s">
        <v>40</v>
      </c>
      <c r="AD39" t="s">
        <v>215</v>
      </c>
      <c r="AI39" s="14">
        <f>ESPRIM[[#This Row],[残高増減（円）]]</f>
        <v>-65707</v>
      </c>
      <c r="AJ39" t="s">
        <v>29</v>
      </c>
      <c r="AK39" t="s">
        <v>136</v>
      </c>
      <c r="AL39" t="s">
        <v>137</v>
      </c>
      <c r="AM39" s="14"/>
      <c r="AQ39" s="14">
        <f>ESPRIM[[#This Row],[残高増減（円）]]</f>
        <v>-65707</v>
      </c>
      <c r="AS39" t="str">
        <f t="shared" si="4"/>
        <v>PO-0014_発注書_PUお食事エプロン検品1ｈ(25元×20.63円/元)</v>
      </c>
      <c r="AT39" s="14" t="str">
        <f t="shared" si="5"/>
        <v>PO-0014</v>
      </c>
      <c r="AU39" t="s">
        <v>156</v>
      </c>
      <c r="AX39" s="1"/>
      <c r="BG39" t="s">
        <v>209</v>
      </c>
      <c r="BH39" t="s">
        <v>40</v>
      </c>
      <c r="BI39" t="s">
        <v>215</v>
      </c>
      <c r="BJ39" t="s">
        <v>211</v>
      </c>
    </row>
    <row r="40" spans="1:62" ht="18.5" customHeight="1" x14ac:dyDescent="0.55000000000000004">
      <c r="A40">
        <v>39</v>
      </c>
      <c r="B40" s="1">
        <v>45505</v>
      </c>
      <c r="C40" t="s">
        <v>108</v>
      </c>
      <c r="D40" t="s">
        <v>120</v>
      </c>
      <c r="F40">
        <v>25</v>
      </c>
      <c r="G40">
        <v>17</v>
      </c>
      <c r="H40">
        <v>425</v>
      </c>
      <c r="K40" s="17">
        <v>425</v>
      </c>
      <c r="L40" s="4">
        <v>17357.298458555502</v>
      </c>
      <c r="M40" s="4"/>
      <c r="N40" s="6"/>
      <c r="O40" s="19">
        <v>20.63</v>
      </c>
      <c r="P40" s="5">
        <f>ROUND((ESPRIM[[#This Row],[入金額（元）]]-ESPRIM[[#This Row],[出金額（元）]])*ESPRIM[[#This Row],[為替レート]],0)</f>
        <v>-8768</v>
      </c>
      <c r="Q40" s="5">
        <f>IFERROR(Q39+ESPRIM[[#This Row],[残高増減（円）]],ESPRIM[[#This Row],[残高増減（円）]])</f>
        <v>358079</v>
      </c>
      <c r="R40" s="5" t="s">
        <v>148</v>
      </c>
      <c r="T40" t="s">
        <v>209</v>
      </c>
      <c r="U40" t="s">
        <v>40</v>
      </c>
      <c r="V40" t="s">
        <v>216</v>
      </c>
      <c r="W40" t="s">
        <v>211</v>
      </c>
      <c r="X40" t="str">
        <f t="shared" si="3"/>
        <v>PO-0012_発注書_PUお食事エプロン（洗濯タグ取り付け、3DポケットOEM）150個 検品17ｈ(425元×20.63円/元)</v>
      </c>
      <c r="Y40" s="7" t="b">
        <v>1</v>
      </c>
      <c r="AA40" s="7" t="b">
        <v>1</v>
      </c>
      <c r="AB40" s="1">
        <f>ESPRIM[[#This Row],[日付]]</f>
        <v>45505</v>
      </c>
      <c r="AC40" t="s">
        <v>40</v>
      </c>
      <c r="AD40" t="s">
        <v>216</v>
      </c>
      <c r="AI40" s="14">
        <f>ESPRIM[[#This Row],[残高増減（円）]]</f>
        <v>-8768</v>
      </c>
      <c r="AJ40" t="s">
        <v>29</v>
      </c>
      <c r="AK40" t="s">
        <v>136</v>
      </c>
      <c r="AL40" t="s">
        <v>137</v>
      </c>
      <c r="AM40" s="14"/>
      <c r="AQ40" s="14">
        <f>ESPRIM[[#This Row],[残高増減（円）]]</f>
        <v>-8768</v>
      </c>
      <c r="AS40" t="str">
        <f t="shared" si="4"/>
        <v>PO-0014_発注書_PUお食事エプロン検品9ｈ(225元×20.63円/元)</v>
      </c>
      <c r="AT40" s="14" t="str">
        <f t="shared" si="5"/>
        <v>PO-0014</v>
      </c>
      <c r="AU40" t="s">
        <v>156</v>
      </c>
      <c r="AX40" s="1"/>
      <c r="BG40" t="s">
        <v>209</v>
      </c>
      <c r="BH40" t="s">
        <v>40</v>
      </c>
      <c r="BI40" t="s">
        <v>216</v>
      </c>
      <c r="BJ40" t="s">
        <v>211</v>
      </c>
    </row>
    <row r="41" spans="1:62" ht="18.5" customHeight="1" x14ac:dyDescent="0.55000000000000004">
      <c r="A41">
        <v>40</v>
      </c>
      <c r="B41" s="1">
        <v>45510</v>
      </c>
      <c r="C41" t="s">
        <v>63</v>
      </c>
      <c r="D41" t="s">
        <v>121</v>
      </c>
      <c r="F41">
        <v>8</v>
      </c>
      <c r="G41">
        <v>1</v>
      </c>
      <c r="H41">
        <v>8</v>
      </c>
      <c r="K41" s="17">
        <v>8</v>
      </c>
      <c r="L41" s="4">
        <v>17349.298458555502</v>
      </c>
      <c r="M41" s="4"/>
      <c r="N41" s="6"/>
      <c r="O41" s="19">
        <v>20.63</v>
      </c>
      <c r="P41" s="5">
        <f>ROUND((ESPRIM[[#This Row],[入金額（元）]]-ESPRIM[[#This Row],[出金額（元）]])*ESPRIM[[#This Row],[為替レート]],0)</f>
        <v>-165</v>
      </c>
      <c r="Q41" s="5">
        <f>IFERROR(Q40+ESPRIM[[#This Row],[残高増減（円）]],ESPRIM[[#This Row],[残高増減（円）]])</f>
        <v>357914</v>
      </c>
      <c r="R41" s="5" t="s">
        <v>150</v>
      </c>
      <c r="T41" t="s">
        <v>209</v>
      </c>
      <c r="U41" t="s">
        <v>40</v>
      </c>
      <c r="V41" t="s">
        <v>212</v>
      </c>
      <c r="W41" t="s">
        <v>211</v>
      </c>
      <c r="X41" t="str">
        <f t="shared" si="3"/>
        <v>300個洗濯タグを工場に発送する国内送料（pu）(8元×20.63円/元)</v>
      </c>
      <c r="Y41" s="7" t="b">
        <v>1</v>
      </c>
      <c r="AA41" s="7" t="b">
        <v>1</v>
      </c>
      <c r="AB41" s="1">
        <f>ESPRIM[[#This Row],[日付]]</f>
        <v>45510</v>
      </c>
      <c r="AC41" t="s">
        <v>40</v>
      </c>
      <c r="AD41" t="s">
        <v>212</v>
      </c>
      <c r="AI41" s="14">
        <f>ESPRIM[[#This Row],[残高増減（円）]]</f>
        <v>-165</v>
      </c>
      <c r="AJ41" t="s">
        <v>29</v>
      </c>
      <c r="AK41" t="s">
        <v>136</v>
      </c>
      <c r="AL41" t="s">
        <v>137</v>
      </c>
      <c r="AM41" s="14"/>
      <c r="AQ41" s="14">
        <f>ESPRIM[[#This Row],[残高増減（円）]]</f>
        <v>-165</v>
      </c>
      <c r="AS41" t="str">
        <f t="shared" si="4"/>
        <v>PO-0014_発注書_PUお食事エプロン検品9ｈ(225元×20.63円/元)</v>
      </c>
      <c r="AT41" s="14" t="str">
        <f t="shared" si="5"/>
        <v>PO-0014</v>
      </c>
      <c r="AU41" t="s">
        <v>156</v>
      </c>
      <c r="AX41" s="1"/>
      <c r="BG41" t="s">
        <v>209</v>
      </c>
      <c r="BH41" t="s">
        <v>40</v>
      </c>
      <c r="BI41" t="s">
        <v>212</v>
      </c>
      <c r="BJ41" t="s">
        <v>211</v>
      </c>
    </row>
    <row r="42" spans="1:62" ht="18.5" customHeight="1" x14ac:dyDescent="0.55000000000000004">
      <c r="A42">
        <v>41</v>
      </c>
      <c r="B42" s="1">
        <v>45518</v>
      </c>
      <c r="C42" t="s">
        <v>108</v>
      </c>
      <c r="D42" t="s">
        <v>122</v>
      </c>
      <c r="F42">
        <v>25</v>
      </c>
      <c r="G42">
        <v>1</v>
      </c>
      <c r="H42">
        <v>25</v>
      </c>
      <c r="K42" s="17">
        <v>25</v>
      </c>
      <c r="L42" s="4">
        <v>17324.298458555502</v>
      </c>
      <c r="M42" s="4"/>
      <c r="N42" s="6"/>
      <c r="O42" s="19">
        <v>20.63</v>
      </c>
      <c r="P42" s="5">
        <f>ROUND((ESPRIM[[#This Row],[入金額（元）]]-ESPRIM[[#This Row],[出金額（元）]])*ESPRIM[[#This Row],[為替レート]],0)</f>
        <v>-516</v>
      </c>
      <c r="Q42" s="5">
        <f>IFERROR(Q41+ESPRIM[[#This Row],[残高増減（円）]],ESPRIM[[#This Row],[残高増減（円）]])</f>
        <v>357398</v>
      </c>
      <c r="R42" s="5" t="s">
        <v>150</v>
      </c>
      <c r="T42" t="s">
        <v>209</v>
      </c>
      <c r="U42" t="s">
        <v>40</v>
      </c>
      <c r="V42" t="s">
        <v>216</v>
      </c>
      <c r="W42" t="s">
        <v>211</v>
      </c>
      <c r="X42" t="str">
        <f t="shared" si="3"/>
        <v>PO-0014_発注書_PUお食事エプロン検品1ｈ(25元×20.63円/元)</v>
      </c>
      <c r="Y42" s="7" t="b">
        <v>1</v>
      </c>
      <c r="AA42" s="7" t="b">
        <v>1</v>
      </c>
      <c r="AB42" s="1">
        <f>ESPRIM[[#This Row],[日付]]</f>
        <v>45518</v>
      </c>
      <c r="AC42" t="s">
        <v>40</v>
      </c>
      <c r="AD42" t="s">
        <v>216</v>
      </c>
      <c r="AI42" s="14">
        <f>ESPRIM[[#This Row],[残高増減（円）]]</f>
        <v>-516</v>
      </c>
      <c r="AJ42" t="s">
        <v>29</v>
      </c>
      <c r="AK42" t="s">
        <v>136</v>
      </c>
      <c r="AL42" t="s">
        <v>137</v>
      </c>
      <c r="AM42" s="14"/>
      <c r="AQ42" s="14">
        <f>ESPRIM[[#This Row],[残高増減（円）]]</f>
        <v>-516</v>
      </c>
      <c r="AS42" t="str">
        <f t="shared" si="4"/>
        <v>PO-0014_発注書_PUお食事エプロン検品9ｈ(225元×20.63円/元)</v>
      </c>
      <c r="AT42" s="14" t="str">
        <f t="shared" si="5"/>
        <v>PO-0014</v>
      </c>
      <c r="AU42" t="s">
        <v>156</v>
      </c>
      <c r="AX42" s="1"/>
      <c r="BG42" t="s">
        <v>209</v>
      </c>
      <c r="BH42" t="s">
        <v>40</v>
      </c>
      <c r="BI42" t="s">
        <v>216</v>
      </c>
      <c r="BJ42" t="s">
        <v>211</v>
      </c>
    </row>
    <row r="43" spans="1:62" ht="18.5" customHeight="1" x14ac:dyDescent="0.55000000000000004">
      <c r="A43">
        <v>42</v>
      </c>
      <c r="B43" s="1">
        <v>45519</v>
      </c>
      <c r="C43" t="s">
        <v>108</v>
      </c>
      <c r="D43" t="s">
        <v>123</v>
      </c>
      <c r="F43">
        <v>25</v>
      </c>
      <c r="G43">
        <v>9</v>
      </c>
      <c r="H43">
        <v>225</v>
      </c>
      <c r="K43" s="17">
        <v>225</v>
      </c>
      <c r="L43" s="4">
        <v>17099.298458555502</v>
      </c>
      <c r="M43" s="4"/>
      <c r="N43" s="6"/>
      <c r="O43" s="19">
        <v>20.63</v>
      </c>
      <c r="P43" s="5">
        <f>ROUND((ESPRIM[[#This Row],[入金額（元）]]-ESPRIM[[#This Row],[出金額（元）]])*ESPRIM[[#This Row],[為替レート]],0)</f>
        <v>-4642</v>
      </c>
      <c r="Q43" s="5">
        <f>IFERROR(Q42+ESPRIM[[#This Row],[残高増減（円）]],ESPRIM[[#This Row],[残高増減（円）]])</f>
        <v>352756</v>
      </c>
      <c r="R43" s="5" t="s">
        <v>150</v>
      </c>
      <c r="T43" t="s">
        <v>209</v>
      </c>
      <c r="U43" t="s">
        <v>40</v>
      </c>
      <c r="V43" t="s">
        <v>216</v>
      </c>
      <c r="W43" t="s">
        <v>211</v>
      </c>
      <c r="X43" t="str">
        <f t="shared" si="3"/>
        <v>PO-0014_発注書_PUお食事エプロン検品9ｈ(225元×20.63円/元)</v>
      </c>
      <c r="Y43" s="7" t="b">
        <v>1</v>
      </c>
      <c r="AA43" s="7" t="b">
        <v>1</v>
      </c>
      <c r="AB43" s="1">
        <f>ESPRIM[[#This Row],[日付]]</f>
        <v>45519</v>
      </c>
      <c r="AC43" t="s">
        <v>40</v>
      </c>
      <c r="AD43" t="s">
        <v>216</v>
      </c>
      <c r="AI43" s="14">
        <f>ESPRIM[[#This Row],[残高増減（円）]]</f>
        <v>-4642</v>
      </c>
      <c r="AJ43" t="s">
        <v>29</v>
      </c>
      <c r="AK43" t="s">
        <v>136</v>
      </c>
      <c r="AL43" t="s">
        <v>137</v>
      </c>
      <c r="AM43" s="14"/>
      <c r="AQ43" s="14">
        <f>ESPRIM[[#This Row],[残高増減（円）]]</f>
        <v>-4642</v>
      </c>
      <c r="AS43" t="str">
        <f t="shared" si="4"/>
        <v>お食事エプロンの写真6枚(216元×20.63円/元)</v>
      </c>
      <c r="AT43" s="14">
        <f t="shared" si="5"/>
        <v>0</v>
      </c>
      <c r="AU43" t="s">
        <v>156</v>
      </c>
      <c r="AX43" s="1"/>
      <c r="BG43" t="s">
        <v>209</v>
      </c>
      <c r="BH43" t="s">
        <v>40</v>
      </c>
      <c r="BI43" t="s">
        <v>216</v>
      </c>
      <c r="BJ43" t="s">
        <v>211</v>
      </c>
    </row>
    <row r="44" spans="1:62" ht="18.5" customHeight="1" x14ac:dyDescent="0.55000000000000004">
      <c r="A44">
        <v>43</v>
      </c>
      <c r="B44" s="1">
        <v>45520</v>
      </c>
      <c r="C44" t="s">
        <v>108</v>
      </c>
      <c r="D44" t="s">
        <v>123</v>
      </c>
      <c r="F44">
        <v>25</v>
      </c>
      <c r="G44">
        <v>9</v>
      </c>
      <c r="H44">
        <v>225</v>
      </c>
      <c r="K44" s="17">
        <v>225</v>
      </c>
      <c r="L44" s="4">
        <v>16874.298458555502</v>
      </c>
      <c r="M44" s="4"/>
      <c r="N44" s="6"/>
      <c r="O44" s="19">
        <v>20.63</v>
      </c>
      <c r="P44" s="5">
        <f>ROUND((ESPRIM[[#This Row],[入金額（元）]]-ESPRIM[[#This Row],[出金額（元）]])*ESPRIM[[#This Row],[為替レート]],0)</f>
        <v>-4642</v>
      </c>
      <c r="Q44" s="5">
        <f>IFERROR(Q43+ESPRIM[[#This Row],[残高増減（円）]],ESPRIM[[#This Row],[残高増減（円）]])</f>
        <v>348114</v>
      </c>
      <c r="R44" s="5" t="s">
        <v>150</v>
      </c>
      <c r="T44" t="s">
        <v>209</v>
      </c>
      <c r="U44" t="s">
        <v>40</v>
      </c>
      <c r="V44" t="s">
        <v>216</v>
      </c>
      <c r="W44" t="s">
        <v>211</v>
      </c>
      <c r="X44" t="str">
        <f t="shared" si="3"/>
        <v>PO-0014_発注書_PUお食事エプロン検品9ｈ(225元×20.63円/元)</v>
      </c>
      <c r="Y44" s="7" t="b">
        <v>1</v>
      </c>
      <c r="AA44" s="7" t="b">
        <v>1</v>
      </c>
      <c r="AB44" s="1">
        <f>ESPRIM[[#This Row],[日付]]</f>
        <v>45520</v>
      </c>
      <c r="AC44" t="s">
        <v>40</v>
      </c>
      <c r="AD44" t="s">
        <v>216</v>
      </c>
      <c r="AI44" s="14">
        <f>ESPRIM[[#This Row],[残高増減（円）]]</f>
        <v>-4642</v>
      </c>
      <c r="AJ44" t="s">
        <v>29</v>
      </c>
      <c r="AK44" t="s">
        <v>136</v>
      </c>
      <c r="AL44" t="s">
        <v>137</v>
      </c>
      <c r="AM44" s="14"/>
      <c r="AQ44" s="14">
        <f>ESPRIM[[#This Row],[残高増減（円）]]</f>
        <v>-4642</v>
      </c>
      <c r="AS44" t="str">
        <f t="shared" si="4"/>
        <v>PO-0012洗濯タグを工場に発送する国内送料（pu）(18元×20.63円/元)</v>
      </c>
      <c r="AT44" s="14" t="str">
        <f t="shared" si="5"/>
        <v>PO-0015</v>
      </c>
      <c r="AU44" t="s">
        <v>156</v>
      </c>
      <c r="AX44" s="1"/>
      <c r="BG44" t="s">
        <v>209</v>
      </c>
      <c r="BH44" t="s">
        <v>40</v>
      </c>
      <c r="BI44" t="s">
        <v>216</v>
      </c>
      <c r="BJ44" t="s">
        <v>211</v>
      </c>
    </row>
    <row r="45" spans="1:62" ht="18.5" customHeight="1" x14ac:dyDescent="0.55000000000000004">
      <c r="A45">
        <v>44</v>
      </c>
      <c r="B45" s="1">
        <v>45523</v>
      </c>
      <c r="C45" t="s">
        <v>108</v>
      </c>
      <c r="D45" t="s">
        <v>123</v>
      </c>
      <c r="F45">
        <v>25</v>
      </c>
      <c r="G45">
        <v>9</v>
      </c>
      <c r="H45">
        <v>225</v>
      </c>
      <c r="K45" s="17">
        <v>225</v>
      </c>
      <c r="L45" s="4">
        <v>16649.298458555502</v>
      </c>
      <c r="M45" s="4"/>
      <c r="N45" s="6"/>
      <c r="O45" s="19">
        <v>20.63</v>
      </c>
      <c r="P45" s="5">
        <f>ROUND((ESPRIM[[#This Row],[入金額（元）]]-ESPRIM[[#This Row],[出金額（元）]])*ESPRIM[[#This Row],[為替レート]],0)</f>
        <v>-4642</v>
      </c>
      <c r="Q45" s="5">
        <f>IFERROR(Q44+ESPRIM[[#This Row],[残高増減（円）]],ESPRIM[[#This Row],[残高増減（円）]])</f>
        <v>343472</v>
      </c>
      <c r="R45" s="5" t="s">
        <v>150</v>
      </c>
      <c r="T45" t="s">
        <v>209</v>
      </c>
      <c r="U45" t="s">
        <v>40</v>
      </c>
      <c r="V45" t="s">
        <v>216</v>
      </c>
      <c r="W45" t="s">
        <v>211</v>
      </c>
      <c r="X45" t="str">
        <f t="shared" si="3"/>
        <v>PO-0014_発注書_PUお食事エプロン検品9ｈ(225元×20.63円/元)</v>
      </c>
      <c r="Y45" s="7" t="b">
        <v>1</v>
      </c>
      <c r="AA45" s="7" t="b">
        <v>1</v>
      </c>
      <c r="AB45" s="1">
        <f>ESPRIM[[#This Row],[日付]]</f>
        <v>45523</v>
      </c>
      <c r="AC45" t="s">
        <v>40</v>
      </c>
      <c r="AD45" t="s">
        <v>216</v>
      </c>
      <c r="AI45" s="14">
        <f>ESPRIM[[#This Row],[残高増減（円）]]</f>
        <v>-4642</v>
      </c>
      <c r="AJ45" t="s">
        <v>29</v>
      </c>
      <c r="AK45" t="s">
        <v>136</v>
      </c>
      <c r="AL45" t="s">
        <v>137</v>
      </c>
      <c r="AM45" s="14"/>
      <c r="AQ45" s="14">
        <f>ESPRIM[[#This Row],[残高増減（円）]]</f>
        <v>-4642</v>
      </c>
      <c r="AS45" t="str">
        <f t="shared" si="4"/>
        <v>お食事エプロンの写真6枚　往復国内送料(24元×20.63円/元)</v>
      </c>
      <c r="AT45" s="14">
        <f t="shared" si="5"/>
        <v>0</v>
      </c>
      <c r="AU45" t="s">
        <v>156</v>
      </c>
      <c r="AX45" s="1"/>
      <c r="BG45" t="s">
        <v>209</v>
      </c>
      <c r="BH45" t="s">
        <v>40</v>
      </c>
      <c r="BI45" t="s">
        <v>216</v>
      </c>
      <c r="BJ45" t="s">
        <v>211</v>
      </c>
    </row>
    <row r="46" spans="1:62" ht="18.5" customHeight="1" x14ac:dyDescent="0.55000000000000004">
      <c r="A46">
        <v>45</v>
      </c>
      <c r="B46" s="1">
        <v>45527</v>
      </c>
      <c r="C46" t="s">
        <v>89</v>
      </c>
      <c r="D46" t="s">
        <v>124</v>
      </c>
      <c r="F46">
        <v>36</v>
      </c>
      <c r="G46">
        <v>6</v>
      </c>
      <c r="H46">
        <v>216</v>
      </c>
      <c r="K46" s="17">
        <v>216</v>
      </c>
      <c r="L46" s="4">
        <v>16433.298458555502</v>
      </c>
      <c r="M46" s="4"/>
      <c r="N46" s="6"/>
      <c r="O46" s="19">
        <v>20.63</v>
      </c>
      <c r="P46" s="5">
        <f>ROUND((ESPRIM[[#This Row],[入金額（元）]]-ESPRIM[[#This Row],[出金額（元）]])*ESPRIM[[#This Row],[為替レート]],0)</f>
        <v>-4456</v>
      </c>
      <c r="Q46" s="5">
        <f>IFERROR(Q45+ESPRIM[[#This Row],[残高増減（円）]],ESPRIM[[#This Row],[残高増減（円）]])</f>
        <v>339016</v>
      </c>
      <c r="R46" s="5"/>
      <c r="T46" t="s">
        <v>209</v>
      </c>
      <c r="U46" t="s">
        <v>210</v>
      </c>
      <c r="W46" t="s">
        <v>211</v>
      </c>
      <c r="X46" t="str">
        <f t="shared" si="3"/>
        <v>お食事エプロンの写真6枚(216元×20.63円/元)</v>
      </c>
      <c r="Y46" s="7" t="b">
        <v>1</v>
      </c>
      <c r="AA46" s="7" t="b">
        <v>1</v>
      </c>
      <c r="AB46" s="1">
        <f>ESPRIM[[#This Row],[日付]]</f>
        <v>45527</v>
      </c>
      <c r="AC46" t="s">
        <v>210</v>
      </c>
      <c r="AI46" s="14">
        <f>ESPRIM[[#This Row],[残高増減（円）]]</f>
        <v>-4456</v>
      </c>
      <c r="AJ46" t="s">
        <v>29</v>
      </c>
      <c r="AK46" t="s">
        <v>136</v>
      </c>
      <c r="AL46" t="s">
        <v>137</v>
      </c>
      <c r="AM46" s="14"/>
      <c r="AQ46" s="14">
        <f>ESPRIM[[#This Row],[残高増減（円）]]</f>
        <v>-4456</v>
      </c>
      <c r="AS46" t="str">
        <f t="shared" si="4"/>
        <v>PO-0015お食事エプロン 650個(6080元×20.63円/元)</v>
      </c>
      <c r="AT46" s="14" t="str">
        <f t="shared" si="5"/>
        <v>PO-0015</v>
      </c>
      <c r="AU46" t="s">
        <v>156</v>
      </c>
      <c r="AX46" s="1"/>
      <c r="BG46" t="s">
        <v>209</v>
      </c>
      <c r="BH46" t="s">
        <v>210</v>
      </c>
      <c r="BJ46" t="s">
        <v>211</v>
      </c>
    </row>
    <row r="47" spans="1:62" ht="18.5" customHeight="1" x14ac:dyDescent="0.55000000000000004">
      <c r="A47">
        <v>46</v>
      </c>
      <c r="B47" s="1">
        <v>45531</v>
      </c>
      <c r="C47" t="s">
        <v>63</v>
      </c>
      <c r="D47" t="s">
        <v>125</v>
      </c>
      <c r="F47">
        <v>18</v>
      </c>
      <c r="G47">
        <v>1</v>
      </c>
      <c r="H47">
        <v>18</v>
      </c>
      <c r="K47" s="17">
        <v>18</v>
      </c>
      <c r="L47" s="4">
        <v>16415.298458555502</v>
      </c>
      <c r="M47" s="4"/>
      <c r="N47" s="6"/>
      <c r="O47" s="19">
        <v>20.63</v>
      </c>
      <c r="P47" s="5">
        <f>ROUND((ESPRIM[[#This Row],[入金額（元）]]-ESPRIM[[#This Row],[出金額（元）]])*ESPRIM[[#This Row],[為替レート]],0)</f>
        <v>-371</v>
      </c>
      <c r="Q47" s="5">
        <f>IFERROR(Q46+ESPRIM[[#This Row],[残高増減（円）]],ESPRIM[[#This Row],[残高増減（円）]])</f>
        <v>338645</v>
      </c>
      <c r="R47" s="5" t="s">
        <v>151</v>
      </c>
      <c r="T47" t="s">
        <v>209</v>
      </c>
      <c r="U47" t="s">
        <v>40</v>
      </c>
      <c r="V47" t="s">
        <v>212</v>
      </c>
      <c r="W47" t="s">
        <v>211</v>
      </c>
      <c r="X47" t="str">
        <f t="shared" si="3"/>
        <v>PO-0012洗濯タグを工場に発送する国内送料（pu）(18元×20.63円/元)</v>
      </c>
      <c r="Y47" s="7" t="b">
        <v>1</v>
      </c>
      <c r="AA47" s="7" t="b">
        <v>1</v>
      </c>
      <c r="AB47" s="1">
        <f>ESPRIM[[#This Row],[日付]]</f>
        <v>45531</v>
      </c>
      <c r="AC47" t="s">
        <v>40</v>
      </c>
      <c r="AD47" t="s">
        <v>212</v>
      </c>
      <c r="AI47" s="14">
        <f>ESPRIM[[#This Row],[残高増減（円）]]</f>
        <v>-371</v>
      </c>
      <c r="AJ47" t="s">
        <v>29</v>
      </c>
      <c r="AK47" t="s">
        <v>136</v>
      </c>
      <c r="AL47" t="s">
        <v>137</v>
      </c>
      <c r="AM47" s="14"/>
      <c r="AQ47" s="14">
        <f>ESPRIM[[#This Row],[残高増減（円）]]</f>
        <v>-371</v>
      </c>
      <c r="AS47" t="str">
        <f t="shared" si="4"/>
        <v>PO-0015_発注書_PUお食事エプロン検品36ｈ(900元×20.63円/元)</v>
      </c>
      <c r="AT47" s="14" t="str">
        <f t="shared" si="5"/>
        <v>PO-0015</v>
      </c>
      <c r="AU47" t="s">
        <v>156</v>
      </c>
      <c r="AX47" s="1"/>
      <c r="BG47" t="s">
        <v>209</v>
      </c>
      <c r="BH47" t="s">
        <v>40</v>
      </c>
      <c r="BI47" t="s">
        <v>212</v>
      </c>
      <c r="BJ47" t="s">
        <v>211</v>
      </c>
    </row>
    <row r="48" spans="1:62" ht="18.5" customHeight="1" x14ac:dyDescent="0.55000000000000004">
      <c r="A48">
        <v>47</v>
      </c>
      <c r="B48" s="1">
        <v>45532</v>
      </c>
      <c r="C48" t="s">
        <v>63</v>
      </c>
      <c r="D48" t="s">
        <v>126</v>
      </c>
      <c r="F48">
        <v>12</v>
      </c>
      <c r="G48">
        <v>2</v>
      </c>
      <c r="H48">
        <v>24</v>
      </c>
      <c r="K48" s="17">
        <v>24</v>
      </c>
      <c r="L48" s="4">
        <v>16391.298458555502</v>
      </c>
      <c r="M48" s="4"/>
      <c r="N48" s="6"/>
      <c r="O48" s="19">
        <v>20.63</v>
      </c>
      <c r="P48" s="5">
        <f>ROUND((ESPRIM[[#This Row],[入金額（元）]]-ESPRIM[[#This Row],[出金額（元）]])*ESPRIM[[#This Row],[為替レート]],0)</f>
        <v>-495</v>
      </c>
      <c r="Q48" s="5">
        <f>IFERROR(Q47+ESPRIM[[#This Row],[残高増減（円）]],ESPRIM[[#This Row],[残高増減（円）]])</f>
        <v>338150</v>
      </c>
      <c r="R48" s="5"/>
      <c r="T48" t="s">
        <v>209</v>
      </c>
      <c r="U48" t="s">
        <v>210</v>
      </c>
      <c r="W48" t="s">
        <v>211</v>
      </c>
      <c r="X48" t="str">
        <f t="shared" si="3"/>
        <v>お食事エプロンの写真6枚　往復国内送料(24元×20.63円/元)</v>
      </c>
      <c r="Y48" s="7" t="b">
        <v>1</v>
      </c>
      <c r="AA48" s="7" t="b">
        <v>1</v>
      </c>
      <c r="AB48" s="1">
        <f>ESPRIM[[#This Row],[日付]]</f>
        <v>45532</v>
      </c>
      <c r="AC48" t="s">
        <v>210</v>
      </c>
      <c r="AI48" s="14">
        <f>ESPRIM[[#This Row],[残高増減（円）]]</f>
        <v>-495</v>
      </c>
      <c r="AJ48" t="s">
        <v>29</v>
      </c>
      <c r="AK48" t="s">
        <v>136</v>
      </c>
      <c r="AL48" t="s">
        <v>137</v>
      </c>
      <c r="AM48" s="14"/>
      <c r="AQ48" s="14">
        <f>ESPRIM[[#This Row],[残高増減（円）]]</f>
        <v>-495</v>
      </c>
      <c r="AS48" t="str">
        <f t="shared" si="4"/>
        <v>PO-0016お食事エプロン 1200個(12120元×20.63円/元)</v>
      </c>
      <c r="AT48" s="14" t="str">
        <f t="shared" si="5"/>
        <v>PO-0016</v>
      </c>
      <c r="AU48" t="s">
        <v>156</v>
      </c>
      <c r="AX48" s="1"/>
      <c r="BG48" t="s">
        <v>209</v>
      </c>
      <c r="BH48" t="s">
        <v>210</v>
      </c>
      <c r="BJ48" t="s">
        <v>211</v>
      </c>
    </row>
    <row r="49" spans="1:62" ht="18.5" customHeight="1" x14ac:dyDescent="0.55000000000000004">
      <c r="A49">
        <v>48</v>
      </c>
      <c r="B49" s="1">
        <v>45530</v>
      </c>
      <c r="C49" t="s">
        <v>89</v>
      </c>
      <c r="D49" t="s">
        <v>127</v>
      </c>
      <c r="F49">
        <v>10</v>
      </c>
      <c r="G49">
        <v>600</v>
      </c>
      <c r="H49">
        <v>6000</v>
      </c>
      <c r="I49">
        <v>80</v>
      </c>
      <c r="K49" s="17">
        <v>6080</v>
      </c>
      <c r="L49" s="4">
        <v>10311.298458555502</v>
      </c>
      <c r="M49" s="4"/>
      <c r="N49" s="6"/>
      <c r="O49" s="19">
        <v>20.63</v>
      </c>
      <c r="P49" s="5">
        <f>ROUND((ESPRIM[[#This Row],[入金額（元）]]-ESPRIM[[#This Row],[出金額（元）]])*ESPRIM[[#This Row],[為替レート]],0)</f>
        <v>-125430</v>
      </c>
      <c r="Q49" s="5">
        <f>IFERROR(Q48+ESPRIM[[#This Row],[残高増減（円）]],ESPRIM[[#This Row],[残高増減（円）]])</f>
        <v>212720</v>
      </c>
      <c r="R49" s="5" t="s">
        <v>151</v>
      </c>
      <c r="T49" t="s">
        <v>209</v>
      </c>
      <c r="U49" t="s">
        <v>40</v>
      </c>
      <c r="V49" t="s">
        <v>215</v>
      </c>
      <c r="W49" t="s">
        <v>211</v>
      </c>
      <c r="X49" t="str">
        <f t="shared" si="3"/>
        <v>PO-0015お食事エプロン 650個(6080元×20.63円/元)</v>
      </c>
      <c r="Y49" s="7" t="b">
        <v>1</v>
      </c>
      <c r="AA49" s="7" t="b">
        <v>1</v>
      </c>
      <c r="AB49" s="1">
        <f>ESPRIM[[#This Row],[日付]]</f>
        <v>45530</v>
      </c>
      <c r="AC49" t="s">
        <v>40</v>
      </c>
      <c r="AD49" t="s">
        <v>215</v>
      </c>
      <c r="AI49" s="14">
        <f>ESPRIM[[#This Row],[残高増減（円）]]</f>
        <v>-125430</v>
      </c>
      <c r="AJ49" t="s">
        <v>29</v>
      </c>
      <c r="AK49" t="s">
        <v>136</v>
      </c>
      <c r="AL49" t="s">
        <v>137</v>
      </c>
      <c r="AM49" s="14"/>
      <c r="AQ49" s="14">
        <f>ESPRIM[[#This Row],[残高増減（円）]]</f>
        <v>-125430</v>
      </c>
      <c r="AS49" t="str">
        <f t="shared" si="4"/>
        <v>OCS 　大仁皓平さん PO-0012_発注書_PUお食事エプロン144個　2024.8.6(380元×20.63円/元)</v>
      </c>
      <c r="AT49" s="14" t="str">
        <f t="shared" si="5"/>
        <v>PO-0012</v>
      </c>
      <c r="AU49" t="s">
        <v>157</v>
      </c>
      <c r="AX49" s="1"/>
      <c r="BG49" t="s">
        <v>209</v>
      </c>
      <c r="BH49" t="s">
        <v>40</v>
      </c>
      <c r="BI49" t="s">
        <v>215</v>
      </c>
      <c r="BJ49" t="s">
        <v>211</v>
      </c>
    </row>
    <row r="50" spans="1:62" ht="18.5" customHeight="1" x14ac:dyDescent="0.55000000000000004">
      <c r="A50">
        <v>49</v>
      </c>
      <c r="B50" s="1">
        <v>45553</v>
      </c>
      <c r="C50" t="s">
        <v>108</v>
      </c>
      <c r="D50" t="s">
        <v>128</v>
      </c>
      <c r="F50">
        <v>25</v>
      </c>
      <c r="G50">
        <v>36</v>
      </c>
      <c r="H50">
        <v>900</v>
      </c>
      <c r="K50" s="17">
        <v>900</v>
      </c>
      <c r="L50" s="4">
        <v>9411.2984585555023</v>
      </c>
      <c r="M50" s="4"/>
      <c r="N50" s="6"/>
      <c r="O50" s="19">
        <v>20.63</v>
      </c>
      <c r="P50" s="5">
        <f>ROUND((ESPRIM[[#This Row],[入金額（元）]]-ESPRIM[[#This Row],[出金額（元）]])*ESPRIM[[#This Row],[為替レート]],0)</f>
        <v>-18567</v>
      </c>
      <c r="Q50" s="5">
        <f>IFERROR(Q49+ESPRIM[[#This Row],[残高増減（円）]],ESPRIM[[#This Row],[残高増減（円）]])</f>
        <v>194153</v>
      </c>
      <c r="R50" s="5" t="s">
        <v>151</v>
      </c>
      <c r="T50" t="s">
        <v>209</v>
      </c>
      <c r="U50" t="s">
        <v>40</v>
      </c>
      <c r="V50" t="s">
        <v>216</v>
      </c>
      <c r="W50" t="s">
        <v>211</v>
      </c>
      <c r="X50" t="str">
        <f t="shared" si="3"/>
        <v>PO-0015_発注書_PUお食事エプロン検品36ｈ(900元×20.63円/元)</v>
      </c>
      <c r="Y50" s="7" t="b">
        <v>1</v>
      </c>
      <c r="AA50" s="7" t="b">
        <v>1</v>
      </c>
      <c r="AB50" s="1">
        <f>ESPRIM[[#This Row],[日付]]</f>
        <v>45553</v>
      </c>
      <c r="AC50" t="s">
        <v>40</v>
      </c>
      <c r="AD50" t="s">
        <v>216</v>
      </c>
      <c r="AI50" s="14">
        <f>ESPRIM[[#This Row],[残高増減（円）]]</f>
        <v>-18567</v>
      </c>
      <c r="AJ50" t="s">
        <v>29</v>
      </c>
      <c r="AK50" t="s">
        <v>136</v>
      </c>
      <c r="AL50" t="s">
        <v>137</v>
      </c>
      <c r="AM50" s="14"/>
      <c r="AQ50" s="14">
        <f>ESPRIM[[#This Row],[残高増減（円）]]</f>
        <v>-18567</v>
      </c>
      <c r="AS50" t="str">
        <f t="shared" si="4"/>
        <v>OCS 大仁皓平さん PO-0014,PO-0012返品分_お食事エプロン 1箱 2024.8.27(556.8元×20.63円/元)</v>
      </c>
      <c r="AT50" s="14" t="str">
        <f t="shared" si="5"/>
        <v>PO-0014</v>
      </c>
      <c r="AU50" t="s">
        <v>157</v>
      </c>
      <c r="AX50" s="1"/>
      <c r="BG50" t="s">
        <v>209</v>
      </c>
      <c r="BH50" t="s">
        <v>40</v>
      </c>
      <c r="BI50" t="s">
        <v>216</v>
      </c>
      <c r="BJ50" t="s">
        <v>211</v>
      </c>
    </row>
    <row r="51" spans="1:62" ht="18.5" customHeight="1" x14ac:dyDescent="0.55000000000000004">
      <c r="A51">
        <v>50</v>
      </c>
      <c r="B51" s="1">
        <v>45560</v>
      </c>
      <c r="C51" t="s">
        <v>89</v>
      </c>
      <c r="D51" t="s">
        <v>129</v>
      </c>
      <c r="F51">
        <v>10</v>
      </c>
      <c r="G51">
        <v>1200</v>
      </c>
      <c r="H51">
        <v>12000</v>
      </c>
      <c r="I51">
        <v>120</v>
      </c>
      <c r="K51" s="17">
        <v>12120</v>
      </c>
      <c r="L51" s="4">
        <v>-2708.7015414444977</v>
      </c>
      <c r="M51" s="4"/>
      <c r="N51" s="6"/>
      <c r="O51" s="19">
        <v>20.63</v>
      </c>
      <c r="P51" s="5">
        <f>ROUND((ESPRIM[[#This Row],[入金額（元）]]-ESPRIM[[#This Row],[出金額（元）]])*ESPRIM[[#This Row],[為替レート]],0)</f>
        <v>-250036</v>
      </c>
      <c r="Q51" s="5">
        <f>IFERROR(Q50+ESPRIM[[#This Row],[残高増減（円）]],ESPRIM[[#This Row],[残高増減（円）]])</f>
        <v>-55883</v>
      </c>
      <c r="R51" s="5" t="s">
        <v>152</v>
      </c>
      <c r="T51" t="s">
        <v>209</v>
      </c>
      <c r="U51" t="s">
        <v>40</v>
      </c>
      <c r="V51" t="s">
        <v>215</v>
      </c>
      <c r="W51" t="s">
        <v>211</v>
      </c>
      <c r="X51" t="str">
        <f t="shared" si="3"/>
        <v>PO-0016お食事エプロン 1200個(12120元×20.63円/元)</v>
      </c>
      <c r="Y51" s="7" t="b">
        <v>1</v>
      </c>
      <c r="AA51" s="22" t="b">
        <v>0</v>
      </c>
      <c r="AB51" s="25">
        <f>ESPRIM[[#This Row],[日付]]</f>
        <v>45560</v>
      </c>
      <c r="AC51" s="23" t="s">
        <v>40</v>
      </c>
      <c r="AD51" s="23" t="s">
        <v>215</v>
      </c>
      <c r="AE51" s="23"/>
      <c r="AF51" s="23"/>
      <c r="AG51" s="23"/>
      <c r="AH51" s="23"/>
      <c r="AI51" s="24">
        <f>ESPRIM[[#This Row],[残高増減（円）]]</f>
        <v>-250036</v>
      </c>
      <c r="AJ51" s="23"/>
      <c r="AK51" s="23"/>
      <c r="AL51" s="23"/>
      <c r="AM51" s="24"/>
      <c r="AN51" s="23"/>
      <c r="AO51" s="23"/>
      <c r="AP51" s="23"/>
      <c r="AQ51" s="24">
        <f>ESPRIM[[#This Row],[残高増減（円）]]</f>
        <v>-250036</v>
      </c>
      <c r="AR51" s="23"/>
      <c r="AS51" s="23" t="str">
        <f>$D55&amp;"("&amp;$K55&amp;"元"&amp;"×"&amp;$O55&amp;"円/元)"</f>
        <v>200000(0元×21.9円/元)</v>
      </c>
      <c r="AT51" s="24">
        <f>$R55</f>
        <v>0</v>
      </c>
      <c r="AU51" s="23"/>
      <c r="AV51" s="23"/>
      <c r="AW51" s="23"/>
      <c r="AX51" s="25"/>
      <c r="AY51" s="23"/>
      <c r="AZ51" s="23"/>
      <c r="BA51" s="23"/>
      <c r="BG51" t="s">
        <v>209</v>
      </c>
      <c r="BH51" t="s">
        <v>40</v>
      </c>
      <c r="BI51" t="s">
        <v>215</v>
      </c>
      <c r="BJ51" t="s">
        <v>211</v>
      </c>
    </row>
    <row r="52" spans="1:62" ht="18.5" customHeight="1" x14ac:dyDescent="0.55000000000000004">
      <c r="A52">
        <v>51</v>
      </c>
      <c r="B52" s="1">
        <v>45560</v>
      </c>
      <c r="C52" t="s">
        <v>86</v>
      </c>
      <c r="D52" t="s">
        <v>130</v>
      </c>
      <c r="F52">
        <v>380</v>
      </c>
      <c r="G52">
        <v>1</v>
      </c>
      <c r="H52">
        <v>380</v>
      </c>
      <c r="K52" s="17">
        <v>380</v>
      </c>
      <c r="L52" s="4">
        <v>-3088.7015414444977</v>
      </c>
      <c r="M52" s="4" t="s">
        <v>131</v>
      </c>
      <c r="N52" s="6">
        <v>26019114575</v>
      </c>
      <c r="O52" s="19">
        <v>20.63</v>
      </c>
      <c r="P52" s="5">
        <f>ROUND((ESPRIM[[#This Row],[入金額（元）]]-ESPRIM[[#This Row],[出金額（元）]])*ESPRIM[[#This Row],[為替レート]],0)</f>
        <v>-7839</v>
      </c>
      <c r="Q52" s="5">
        <f>IFERROR(Q51+ESPRIM[[#This Row],[残高増減（円）]],ESPRIM[[#This Row],[残高増減（円）]])</f>
        <v>-63722</v>
      </c>
      <c r="R52" s="5" t="s">
        <v>148</v>
      </c>
      <c r="T52" t="s">
        <v>209</v>
      </c>
      <c r="U52" t="s">
        <v>40</v>
      </c>
      <c r="V52" t="s">
        <v>217</v>
      </c>
      <c r="W52" t="s">
        <v>211</v>
      </c>
      <c r="X52" t="str">
        <f t="shared" si="3"/>
        <v>OCS 　大仁皓平さん PO-0012_発注書_PUお食事エプロン144個　2024.8.6(380元×20.63円/元)</v>
      </c>
      <c r="Y52" s="7" t="b">
        <v>1</v>
      </c>
      <c r="AA52" s="7" t="b">
        <v>1</v>
      </c>
      <c r="AB52" s="1">
        <f>ESPRIM[[#This Row],[日付]]</f>
        <v>45560</v>
      </c>
      <c r="AC52" t="s">
        <v>40</v>
      </c>
      <c r="AD52" t="s">
        <v>217</v>
      </c>
      <c r="AI52" s="14">
        <f>ESPRIM[[#This Row],[残高増減（円）]]</f>
        <v>-7839</v>
      </c>
      <c r="AJ52" t="s">
        <v>29</v>
      </c>
      <c r="AK52" t="s">
        <v>136</v>
      </c>
      <c r="AL52" t="s">
        <v>137</v>
      </c>
      <c r="AM52" s="14"/>
      <c r="AQ52" s="14">
        <f>ESPRIM[[#This Row],[残高増減（円）]]</f>
        <v>-7839</v>
      </c>
      <c r="AS52" t="str">
        <f>$D57&amp;"("&amp;$K57&amp;"元"&amp;"×"&amp;$O57&amp;"円/元)"</f>
        <v>PO-0017洗濯タグを2000個(280元×21.9円/元)</v>
      </c>
      <c r="AT52" s="14" t="str">
        <f>$R57</f>
        <v>PO-0017</v>
      </c>
      <c r="AU52" t="s">
        <v>156</v>
      </c>
      <c r="AX52" s="1"/>
      <c r="BG52" t="s">
        <v>209</v>
      </c>
      <c r="BH52" t="s">
        <v>40</v>
      </c>
      <c r="BI52" t="s">
        <v>217</v>
      </c>
      <c r="BJ52" t="s">
        <v>211</v>
      </c>
    </row>
    <row r="53" spans="1:62" ht="18.5" customHeight="1" x14ac:dyDescent="0.55000000000000004">
      <c r="A53" s="29">
        <v>52</v>
      </c>
      <c r="B53" s="30">
        <v>45560</v>
      </c>
      <c r="C53" s="29" t="s">
        <v>86</v>
      </c>
      <c r="D53" s="29" t="s">
        <v>132</v>
      </c>
      <c r="E53" s="29"/>
      <c r="F53" s="29">
        <v>556.79999999999995</v>
      </c>
      <c r="G53" s="29">
        <v>1</v>
      </c>
      <c r="H53" s="29">
        <v>556.79999999999995</v>
      </c>
      <c r="I53" s="29"/>
      <c r="J53" s="29"/>
      <c r="K53" s="31">
        <v>556.79999999999995</v>
      </c>
      <c r="L53" s="32">
        <v>-3645.5015414444979</v>
      </c>
      <c r="M53" s="32" t="s">
        <v>133</v>
      </c>
      <c r="N53" s="34">
        <v>26019114811</v>
      </c>
      <c r="O53" s="35">
        <v>20.63</v>
      </c>
      <c r="P53" s="36">
        <f>ROUND((ESPRIM[[#This Row],[入金額（元）]]-ESPRIM[[#This Row],[出金額（元）]])*ESPRIM[[#This Row],[為替レート]],0)</f>
        <v>-11487</v>
      </c>
      <c r="Q53" s="36">
        <f>IFERROR(Q52+ESPRIM[[#This Row],[残高増減（円）]],ESPRIM[[#This Row],[残高増減（円）]])</f>
        <v>-75209</v>
      </c>
      <c r="R53" s="36" t="s">
        <v>150</v>
      </c>
      <c r="S53" s="29"/>
      <c r="T53" s="29" t="s">
        <v>209</v>
      </c>
      <c r="U53" s="29" t="s">
        <v>40</v>
      </c>
      <c r="V53" s="29" t="s">
        <v>217</v>
      </c>
      <c r="W53" s="29" t="s">
        <v>211</v>
      </c>
      <c r="X53" s="29" t="str">
        <f t="shared" si="3"/>
        <v>OCS 大仁皓平さん PO-0014,PO-0012返品分_お食事エプロン 1箱 2024.8.27(556.8元×20.63円/元)</v>
      </c>
      <c r="Y53" s="38" t="b">
        <v>1</v>
      </c>
      <c r="AA53" s="7" t="b">
        <v>1</v>
      </c>
      <c r="AB53" s="1">
        <f>ESPRIM[[#This Row],[日付]]</f>
        <v>45560</v>
      </c>
      <c r="AC53" t="s">
        <v>40</v>
      </c>
      <c r="AD53" t="s">
        <v>217</v>
      </c>
      <c r="AI53" s="14">
        <f>ESPRIM[[#This Row],[残高増減（円）]]</f>
        <v>-11487</v>
      </c>
      <c r="AJ53" t="s">
        <v>29</v>
      </c>
      <c r="AK53" t="s">
        <v>136</v>
      </c>
      <c r="AL53" t="s">
        <v>137</v>
      </c>
      <c r="AQ53" s="14">
        <f>ESPRIM[[#This Row],[残高増減（円）]]</f>
        <v>-11487</v>
      </c>
      <c r="AS53" t="str">
        <f>$D58&amp;"("&amp;$K58&amp;"元"&amp;"×"&amp;$O58&amp;"円/元)"</f>
        <v>PO-0018マザーズバッグのサンプル(227元×21.9円/元)</v>
      </c>
      <c r="AT53" s="14" t="str">
        <f>$R58</f>
        <v>PO-0018</v>
      </c>
      <c r="AX53" s="1"/>
      <c r="BG53" t="s">
        <v>209</v>
      </c>
      <c r="BH53" t="s">
        <v>40</v>
      </c>
      <c r="BI53" t="s">
        <v>217</v>
      </c>
      <c r="BJ53" t="s">
        <v>211</v>
      </c>
    </row>
    <row r="54" spans="1:62" x14ac:dyDescent="0.55000000000000004">
      <c r="A54" s="29">
        <v>53</v>
      </c>
      <c r="B54" s="30">
        <v>45560</v>
      </c>
      <c r="C54" s="29" t="s">
        <v>86</v>
      </c>
      <c r="D54" s="29" t="s">
        <v>132</v>
      </c>
      <c r="E54" s="29"/>
      <c r="F54" s="29">
        <v>11.8</v>
      </c>
      <c r="G54" s="29">
        <v>1</v>
      </c>
      <c r="H54" s="29">
        <v>11.8</v>
      </c>
      <c r="I54" s="29"/>
      <c r="J54" s="29"/>
      <c r="K54" s="31">
        <v>11.8</v>
      </c>
      <c r="L54" s="32">
        <v>-3657.3015414444981</v>
      </c>
      <c r="M54" s="32" t="s">
        <v>133</v>
      </c>
      <c r="N54" s="34">
        <v>26019114811</v>
      </c>
      <c r="O54" s="35">
        <v>20.63</v>
      </c>
      <c r="P54" s="36">
        <f>ROUND((ESPRIM[[#This Row],[入金額（元）]]-ESPRIM[[#This Row],[出金額（元）]])*ESPRIM[[#This Row],[為替レート]],0)</f>
        <v>-243</v>
      </c>
      <c r="Q54" s="36">
        <f>IFERROR(Q53+ESPRIM[[#This Row],[残高増減（円）]],ESPRIM[[#This Row],[残高増減（円）]])</f>
        <v>-75452</v>
      </c>
      <c r="R54" s="36" t="s">
        <v>148</v>
      </c>
      <c r="S54" s="29"/>
      <c r="T54" s="29" t="s">
        <v>209</v>
      </c>
      <c r="U54" s="29" t="s">
        <v>40</v>
      </c>
      <c r="V54" s="29" t="s">
        <v>217</v>
      </c>
      <c r="W54" s="29" t="s">
        <v>211</v>
      </c>
      <c r="X54" s="29" t="str">
        <f t="shared" si="3"/>
        <v>OCS 大仁皓平さん PO-0014,PO-0012返品分_お食事エプロン 1箱 2024.8.27(11.8元×20.63円/元)</v>
      </c>
      <c r="Y54" s="38" t="b">
        <v>1</v>
      </c>
      <c r="AA54" s="7" t="b">
        <v>0</v>
      </c>
      <c r="AB54" s="1">
        <f>ESPRIM[[#This Row],[日付]]</f>
        <v>45560</v>
      </c>
      <c r="AC54" t="s">
        <v>40</v>
      </c>
      <c r="AD54" t="s">
        <v>217</v>
      </c>
      <c r="AI54" s="14">
        <f>ESPRIM[[#This Row],[残高増減（円）]]</f>
        <v>-243</v>
      </c>
      <c r="AQ54" s="14">
        <f>ESPRIM[[#This Row],[残高増減（円）]]</f>
        <v>-243</v>
      </c>
      <c r="AS54" t="str">
        <f>$D74&amp;"("&amp;$K74&amp;"元"&amp;"×"&amp;$O74&amp;"円/元)"</f>
        <v>(42521.36元×円/元)</v>
      </c>
      <c r="AT54" s="14">
        <f>$R74</f>
        <v>0</v>
      </c>
      <c r="AX54" s="1"/>
      <c r="BG54" t="s">
        <v>209</v>
      </c>
      <c r="BH54" t="s">
        <v>40</v>
      </c>
      <c r="BI54" t="s">
        <v>217</v>
      </c>
      <c r="BJ54" t="s">
        <v>211</v>
      </c>
    </row>
    <row r="55" spans="1:62" x14ac:dyDescent="0.55000000000000004">
      <c r="A55" s="29">
        <v>54</v>
      </c>
      <c r="B55" s="30">
        <v>45561</v>
      </c>
      <c r="C55" s="29" t="s">
        <v>72</v>
      </c>
      <c r="D55" s="29">
        <v>200000</v>
      </c>
      <c r="E55" s="29" t="s">
        <v>73</v>
      </c>
      <c r="F55" s="29">
        <v>21.9</v>
      </c>
      <c r="G55" s="29"/>
      <c r="H55" s="29">
        <v>0</v>
      </c>
      <c r="I55" s="29"/>
      <c r="J55" s="29">
        <v>9132.4200913242021</v>
      </c>
      <c r="K55" s="31">
        <v>0</v>
      </c>
      <c r="L55" s="32">
        <v>5475.118549879704</v>
      </c>
      <c r="M55" s="32"/>
      <c r="N55" s="34"/>
      <c r="O55" s="35">
        <v>21.9</v>
      </c>
      <c r="P55" s="39">
        <f>ROUND((ESPRIM[[#This Row],[入金額（元）]]-ESPRIM[[#This Row],[出金額（元）]])*ESPRIM[[#This Row],[為替レート]],0)</f>
        <v>200000</v>
      </c>
      <c r="Q55" s="36">
        <f>IFERROR(Q54+ESPRIM[[#This Row],[残高増減（円）]],ESPRIM[[#This Row],[残高増減（円）]])</f>
        <v>124548</v>
      </c>
      <c r="R55" s="36"/>
      <c r="S55" s="29"/>
      <c r="T55" s="29" t="s">
        <v>208</v>
      </c>
      <c r="U55" s="29"/>
      <c r="V55" s="29"/>
      <c r="W55" s="29"/>
      <c r="X55" s="29" t="str">
        <f t="shared" si="3"/>
        <v>200000(0元×21.9円/元)</v>
      </c>
      <c r="Y55" s="38" t="b">
        <v>1</v>
      </c>
      <c r="AA55" s="7" t="b">
        <v>0</v>
      </c>
      <c r="AB55" s="1">
        <f>ESPRIM[[#This Row],[日付]]</f>
        <v>45561</v>
      </c>
      <c r="AI55" s="14">
        <f>ESPRIM[[#This Row],[残高増減（円）]]</f>
        <v>200000</v>
      </c>
      <c r="AQ55" s="14">
        <f>ESPRIM[[#This Row],[残高増減（円）]]</f>
        <v>200000</v>
      </c>
      <c r="AS55" t="str">
        <f t="shared" ref="AS55:AS62" si="6">$D60&amp;"("&amp;$K60&amp;"元"&amp;"×"&amp;$O60&amp;"円/元)"</f>
        <v>OCS 　大仁皓平さん PO-0015_発注書_PUお食事エプロン548個(601.2元×21.9円/元)</v>
      </c>
      <c r="AT55" s="14" t="str">
        <f t="shared" ref="AT55:AT62" si="7">$R60</f>
        <v>PO-0015</v>
      </c>
      <c r="AX55" s="1"/>
      <c r="BG55" t="s">
        <v>208</v>
      </c>
    </row>
    <row r="56" spans="1:62" x14ac:dyDescent="0.55000000000000004">
      <c r="A56" s="29">
        <v>55</v>
      </c>
      <c r="B56" s="30">
        <v>45561</v>
      </c>
      <c r="C56" s="29" t="s">
        <v>185</v>
      </c>
      <c r="D56" s="29" t="s">
        <v>186</v>
      </c>
      <c r="E56" s="29"/>
      <c r="F56" s="29"/>
      <c r="G56" s="29"/>
      <c r="H56" s="29"/>
      <c r="I56" s="29"/>
      <c r="J56" s="29">
        <v>-182.64840182648405</v>
      </c>
      <c r="K56" s="31"/>
      <c r="L56" s="32">
        <v>5292.4701480532203</v>
      </c>
      <c r="M56" s="32"/>
      <c r="N56" s="34"/>
      <c r="O56" s="35">
        <v>21.9</v>
      </c>
      <c r="P56" s="36">
        <f>ROUND((ESPRIM[[#This Row],[入金額（元）]]-ESPRIM[[#This Row],[出金額（元）]])*ESPRIM[[#This Row],[為替レート]],0)</f>
        <v>-4000</v>
      </c>
      <c r="Q56" s="36">
        <f>IFERROR(Q55+ESPRIM[[#This Row],[残高増減（円）]],ESPRIM[[#This Row],[残高増減（円）]])</f>
        <v>120548</v>
      </c>
      <c r="R56" s="36"/>
      <c r="S56" s="29"/>
      <c r="T56" s="29" t="s">
        <v>208</v>
      </c>
      <c r="U56" s="29" t="s">
        <v>218</v>
      </c>
      <c r="V56" s="29"/>
      <c r="W56" s="29"/>
      <c r="X56" s="29" t="str">
        <f t="shared" si="3"/>
        <v>入金手数料2%(元×21.9円/元)</v>
      </c>
      <c r="Y56" s="38" t="b">
        <v>1</v>
      </c>
      <c r="AA56" s="7" t="b">
        <v>0</v>
      </c>
      <c r="AB56" s="1">
        <f>ESPRIM[[#This Row],[日付]]</f>
        <v>45561</v>
      </c>
      <c r="AC56" t="s">
        <v>218</v>
      </c>
      <c r="AI56" s="14">
        <f>ESPRIM[[#This Row],[残高増減（円）]]</f>
        <v>-4000</v>
      </c>
      <c r="AQ56" s="14">
        <f>ESPRIM[[#This Row],[残高増減（円）]]</f>
        <v>-4000</v>
      </c>
      <c r="AS56" t="str">
        <f t="shared" si="6"/>
        <v>PO-0016_発注書_PUお食事エプロン検品6ｈ(150元×21.9円/元)</v>
      </c>
      <c r="AT56" s="14" t="str">
        <f t="shared" si="7"/>
        <v>PO-0016</v>
      </c>
      <c r="AX56" s="1"/>
      <c r="BG56" t="s">
        <v>208</v>
      </c>
      <c r="BH56" t="s">
        <v>218</v>
      </c>
    </row>
    <row r="57" spans="1:62" x14ac:dyDescent="0.55000000000000004">
      <c r="A57">
        <v>56</v>
      </c>
      <c r="B57" s="1">
        <v>45562</v>
      </c>
      <c r="C57" t="s">
        <v>89</v>
      </c>
      <c r="D57" t="s">
        <v>134</v>
      </c>
      <c r="F57">
        <v>280</v>
      </c>
      <c r="G57">
        <v>1</v>
      </c>
      <c r="H57">
        <v>280</v>
      </c>
      <c r="K57" s="17">
        <v>280</v>
      </c>
      <c r="L57" s="4">
        <v>5012.4701480532203</v>
      </c>
      <c r="M57" s="4"/>
      <c r="N57" s="6"/>
      <c r="O57" s="19">
        <v>21.9</v>
      </c>
      <c r="P57" s="5">
        <f>ROUND((ESPRIM[[#This Row],[入金額（元）]]-ESPRIM[[#This Row],[出金額（元）]])*ESPRIM[[#This Row],[為替レート]],0)</f>
        <v>-6132</v>
      </c>
      <c r="Q57" s="5">
        <f>IFERROR(Q56+ESPRIM[[#This Row],[残高増減（円）]],ESPRIM[[#This Row],[残高増減（円）]])</f>
        <v>114416</v>
      </c>
      <c r="R57" s="5" t="s">
        <v>153</v>
      </c>
      <c r="T57" t="s">
        <v>209</v>
      </c>
      <c r="U57" t="s">
        <v>40</v>
      </c>
      <c r="V57" t="s">
        <v>212</v>
      </c>
      <c r="W57" t="s">
        <v>211</v>
      </c>
      <c r="X57" t="str">
        <f t="shared" si="3"/>
        <v>PO-0017洗濯タグを2000個(280元×21.9円/元)</v>
      </c>
      <c r="Y57" s="7" t="b">
        <v>1</v>
      </c>
      <c r="AA57" s="7" t="b">
        <v>0</v>
      </c>
      <c r="AB57" s="1">
        <f>ESPRIM[[#This Row],[日付]]</f>
        <v>45562</v>
      </c>
      <c r="AC57" t="s">
        <v>40</v>
      </c>
      <c r="AD57" t="s">
        <v>212</v>
      </c>
      <c r="AI57" s="14">
        <f>ESPRIM[[#This Row],[残高増減（円）]]</f>
        <v>-6132</v>
      </c>
      <c r="AQ57" s="14">
        <f>ESPRIM[[#This Row],[残高増減（円）]]</f>
        <v>-6132</v>
      </c>
      <c r="AS57" t="str">
        <f t="shared" si="6"/>
        <v>PO-0016_発注書_PUお食事エプロン検品19ｈ(475元×21.9円/元)</v>
      </c>
      <c r="AT57" s="14" t="str">
        <f t="shared" si="7"/>
        <v>PO-0016</v>
      </c>
      <c r="AX57" s="1"/>
      <c r="BG57" t="s">
        <v>209</v>
      </c>
      <c r="BH57" t="s">
        <v>40</v>
      </c>
      <c r="BI57" t="s">
        <v>212</v>
      </c>
      <c r="BJ57" t="s">
        <v>211</v>
      </c>
    </row>
    <row r="58" spans="1:62" x14ac:dyDescent="0.55000000000000004">
      <c r="A58">
        <v>57</v>
      </c>
      <c r="B58" s="1">
        <v>45562</v>
      </c>
      <c r="C58" t="s">
        <v>89</v>
      </c>
      <c r="D58" t="s">
        <v>135</v>
      </c>
      <c r="F58">
        <v>200</v>
      </c>
      <c r="G58">
        <v>1</v>
      </c>
      <c r="H58">
        <v>200</v>
      </c>
      <c r="I58">
        <v>27</v>
      </c>
      <c r="K58" s="17">
        <v>227</v>
      </c>
      <c r="L58" s="4">
        <v>4785.4701480532203</v>
      </c>
      <c r="M58" s="4"/>
      <c r="N58" s="6"/>
      <c r="O58" s="19">
        <v>21.9</v>
      </c>
      <c r="P58" s="5">
        <f>ROUND((ESPRIM[[#This Row],[入金額（元）]]-ESPRIM[[#This Row],[出金額（元）]])*ESPRIM[[#This Row],[為替レート]],0)</f>
        <v>-4971</v>
      </c>
      <c r="Q58" s="5">
        <f>IFERROR(Q57+ESPRIM[[#This Row],[残高増減（円）]],ESPRIM[[#This Row],[残高増減（円）]])</f>
        <v>109445</v>
      </c>
      <c r="R58" s="5" t="s">
        <v>154</v>
      </c>
      <c r="T58" t="s">
        <v>209</v>
      </c>
      <c r="U58" t="s">
        <v>210</v>
      </c>
      <c r="W58" t="s">
        <v>219</v>
      </c>
      <c r="X58" t="str">
        <f t="shared" si="3"/>
        <v>PO-0018マザーズバッグのサンプル(227元×21.9円/元)</v>
      </c>
      <c r="Y58" s="7" t="b">
        <v>1</v>
      </c>
      <c r="AA58" s="7" t="b">
        <v>0</v>
      </c>
      <c r="AB58" s="1">
        <f>ESPRIM[[#This Row],[日付]]</f>
        <v>45562</v>
      </c>
      <c r="AC58" t="s">
        <v>210</v>
      </c>
      <c r="AD58" t="s">
        <v>213</v>
      </c>
      <c r="AI58" s="14">
        <f>ESPRIM[[#This Row],[残高増減（円）]]</f>
        <v>-4971</v>
      </c>
      <c r="AQ58" s="14">
        <f>ESPRIM[[#This Row],[残高増減（円）]]</f>
        <v>-4971</v>
      </c>
      <c r="AS58" t="str">
        <f t="shared" si="6"/>
        <v>PO-0016_発注書_PUお食事エプロン検品18ｈ(450元×21.9円/元)</v>
      </c>
      <c r="AT58" s="14" t="str">
        <f t="shared" si="7"/>
        <v>PO-0016</v>
      </c>
      <c r="AX58" s="1"/>
      <c r="BG58" t="s">
        <v>209</v>
      </c>
      <c r="BH58" t="s">
        <v>210</v>
      </c>
      <c r="BI58" t="s">
        <v>213</v>
      </c>
      <c r="BJ58" t="s">
        <v>219</v>
      </c>
    </row>
    <row r="59" spans="1:62" x14ac:dyDescent="0.55000000000000004">
      <c r="A59">
        <v>58</v>
      </c>
      <c r="B59" s="1">
        <v>45548</v>
      </c>
      <c r="C59" t="s">
        <v>108</v>
      </c>
      <c r="D59" t="s">
        <v>187</v>
      </c>
      <c r="F59">
        <v>25</v>
      </c>
      <c r="G59">
        <v>6</v>
      </c>
      <c r="H59">
        <v>150</v>
      </c>
      <c r="K59" s="17">
        <v>150</v>
      </c>
      <c r="L59" s="4">
        <v>4635.4701480532203</v>
      </c>
      <c r="M59" s="4"/>
      <c r="N59" s="6"/>
      <c r="O59" s="19">
        <v>21.9</v>
      </c>
      <c r="P59" s="5">
        <f>ROUND((ESPRIM[[#This Row],[入金額（元）]]-ESPRIM[[#This Row],[出金額（元）]])*ESPRIM[[#This Row],[為替レート]],0)</f>
        <v>-3285</v>
      </c>
      <c r="Q59" s="5">
        <f>IFERROR(Q58+ESPRIM[[#This Row],[残高増減（円）]],ESPRIM[[#This Row],[残高増減（円）]])</f>
        <v>106160</v>
      </c>
      <c r="R59" s="5" t="s">
        <v>151</v>
      </c>
      <c r="T59" t="s">
        <v>209</v>
      </c>
      <c r="U59" t="s">
        <v>40</v>
      </c>
      <c r="V59" t="s">
        <v>216</v>
      </c>
      <c r="W59" t="s">
        <v>211</v>
      </c>
      <c r="X59" t="str">
        <f t="shared" si="3"/>
        <v>お食事お食事エプロンPO-0015検品6h(150元×21.9円/元)</v>
      </c>
      <c r="Y59" s="7" t="b">
        <v>1</v>
      </c>
      <c r="AA59" s="7" t="b">
        <v>0</v>
      </c>
      <c r="AB59" s="1">
        <f>ESPRIM[[#This Row],[日付]]</f>
        <v>45548</v>
      </c>
      <c r="AC59" t="s">
        <v>40</v>
      </c>
      <c r="AD59" t="s">
        <v>216</v>
      </c>
      <c r="AI59" s="14">
        <f>ESPRIM[[#This Row],[残高増減（円）]]</f>
        <v>-3285</v>
      </c>
      <c r="AQ59" s="14">
        <f>ESPRIM[[#This Row],[残高増減（円）]]</f>
        <v>-3285</v>
      </c>
      <c r="AS59" t="str">
        <f t="shared" si="6"/>
        <v>PO-0016_発注書_PUお食事エプロン検品9ｈ(225元×21.9円/元)</v>
      </c>
      <c r="AT59" s="14" t="str">
        <f t="shared" si="7"/>
        <v>PO-0016</v>
      </c>
      <c r="AX59" s="1"/>
      <c r="BG59" t="s">
        <v>209</v>
      </c>
      <c r="BH59" t="s">
        <v>40</v>
      </c>
      <c r="BI59" t="s">
        <v>216</v>
      </c>
      <c r="BJ59" t="s">
        <v>211</v>
      </c>
    </row>
    <row r="60" spans="1:62" x14ac:dyDescent="0.55000000000000004">
      <c r="A60">
        <v>59</v>
      </c>
      <c r="B60" s="1">
        <v>45581</v>
      </c>
      <c r="C60" t="s">
        <v>86</v>
      </c>
      <c r="D60" t="s">
        <v>188</v>
      </c>
      <c r="F60">
        <v>601.20000000000005</v>
      </c>
      <c r="G60">
        <v>1</v>
      </c>
      <c r="H60">
        <v>601.20000000000005</v>
      </c>
      <c r="K60" s="17">
        <v>601.20000000000005</v>
      </c>
      <c r="L60" s="4">
        <v>4034.2701480532205</v>
      </c>
      <c r="M60" s="4"/>
      <c r="N60" s="6"/>
      <c r="O60" s="19">
        <v>21.9</v>
      </c>
      <c r="P60" s="5">
        <f>ROUND((ESPRIM[[#This Row],[入金額（元）]]-ESPRIM[[#This Row],[出金額（元）]])*ESPRIM[[#This Row],[為替レート]],0)</f>
        <v>-13166</v>
      </c>
      <c r="Q60" s="5">
        <f>IFERROR(Q59+ESPRIM[[#This Row],[残高増減（円）]],ESPRIM[[#This Row],[残高増減（円）]])</f>
        <v>92994</v>
      </c>
      <c r="R60" s="5" t="s">
        <v>151</v>
      </c>
      <c r="T60" t="s">
        <v>209</v>
      </c>
      <c r="U60" t="s">
        <v>40</v>
      </c>
      <c r="V60" t="s">
        <v>217</v>
      </c>
      <c r="W60" t="s">
        <v>211</v>
      </c>
      <c r="X60" t="str">
        <f t="shared" si="3"/>
        <v>OCS 　大仁皓平さん PO-0015_発注書_PUお食事エプロン548個(601.2元×21.9円/元)</v>
      </c>
      <c r="Y60" s="7" t="b">
        <v>1</v>
      </c>
      <c r="AA60" s="7" t="b">
        <v>0</v>
      </c>
      <c r="AB60" s="1">
        <f>ESPRIM[[#This Row],[日付]]</f>
        <v>45581</v>
      </c>
      <c r="AC60" t="s">
        <v>40</v>
      </c>
      <c r="AD60" t="s">
        <v>217</v>
      </c>
      <c r="AI60" s="14">
        <f>ESPRIM[[#This Row],[残高増減（円）]]</f>
        <v>-13166</v>
      </c>
      <c r="AQ60" s="14">
        <f>ESPRIM[[#This Row],[残高増減（円）]]</f>
        <v>-13166</v>
      </c>
      <c r="AS60" t="str">
        <f t="shared" si="6"/>
        <v>PO-0016_発注書_PUお食事エプロン検品1ｈ(25元×21.9円/元)</v>
      </c>
      <c r="AT60" s="14" t="str">
        <f t="shared" si="7"/>
        <v>PO-0016</v>
      </c>
      <c r="AX60" s="1"/>
      <c r="BG60" t="s">
        <v>209</v>
      </c>
      <c r="BH60" t="s">
        <v>40</v>
      </c>
      <c r="BI60" t="s">
        <v>217</v>
      </c>
      <c r="BJ60" t="s">
        <v>211</v>
      </c>
    </row>
    <row r="61" spans="1:62" x14ac:dyDescent="0.55000000000000004">
      <c r="A61">
        <v>60</v>
      </c>
      <c r="B61" s="1">
        <v>45958</v>
      </c>
      <c r="C61" t="s">
        <v>108</v>
      </c>
      <c r="D61" t="s">
        <v>189</v>
      </c>
      <c r="F61">
        <v>25</v>
      </c>
      <c r="G61">
        <v>6</v>
      </c>
      <c r="H61">
        <v>150</v>
      </c>
      <c r="K61" s="17">
        <v>150</v>
      </c>
      <c r="L61" s="4">
        <v>3884.2701480532205</v>
      </c>
      <c r="M61" s="4"/>
      <c r="N61" s="6"/>
      <c r="O61" s="19">
        <v>21.9</v>
      </c>
      <c r="P61" s="5">
        <f>ROUND((ESPRIM[[#This Row],[入金額（元）]]-ESPRIM[[#This Row],[出金額（元）]])*ESPRIM[[#This Row],[為替レート]],0)</f>
        <v>-3285</v>
      </c>
      <c r="Q61" s="5">
        <f>IFERROR(Q60+ESPRIM[[#This Row],[残高増減（円）]],ESPRIM[[#This Row],[残高増減（円）]])</f>
        <v>89709</v>
      </c>
      <c r="R61" s="5" t="s">
        <v>152</v>
      </c>
      <c r="T61" t="s">
        <v>209</v>
      </c>
      <c r="U61" t="s">
        <v>40</v>
      </c>
      <c r="V61" t="s">
        <v>216</v>
      </c>
      <c r="W61" t="s">
        <v>211</v>
      </c>
      <c r="X61" t="str">
        <f t="shared" si="3"/>
        <v>PO-0016_発注書_PUお食事エプロン検品6ｈ(150元×21.9円/元)</v>
      </c>
      <c r="Y61" s="7" t="b">
        <v>1</v>
      </c>
      <c r="AA61" s="7" t="b">
        <v>0</v>
      </c>
      <c r="AB61" s="1">
        <f>ESPRIM[[#This Row],[日付]]</f>
        <v>45958</v>
      </c>
      <c r="AC61" t="s">
        <v>40</v>
      </c>
      <c r="AD61" t="s">
        <v>216</v>
      </c>
      <c r="AI61" s="14">
        <f>ESPRIM[[#This Row],[残高増減（円）]]</f>
        <v>-3285</v>
      </c>
      <c r="AQ61" s="14">
        <f>ESPRIM[[#This Row],[残高増減（円）]]</f>
        <v>-3285</v>
      </c>
      <c r="AS61" t="str">
        <f t="shared" si="6"/>
        <v>PUお食事エプロン不良品返品の国内送料(23元×21.9円/元)</v>
      </c>
      <c r="AT61" s="14" t="str">
        <f t="shared" si="7"/>
        <v>PO-0016</v>
      </c>
      <c r="AX61" s="1"/>
      <c r="BG61" t="s">
        <v>209</v>
      </c>
      <c r="BH61" t="s">
        <v>40</v>
      </c>
      <c r="BI61" t="s">
        <v>216</v>
      </c>
      <c r="BJ61" t="s">
        <v>211</v>
      </c>
    </row>
    <row r="62" spans="1:62" x14ac:dyDescent="0.55000000000000004">
      <c r="A62">
        <v>61</v>
      </c>
      <c r="B62" s="1">
        <v>45959</v>
      </c>
      <c r="C62" t="s">
        <v>108</v>
      </c>
      <c r="D62" t="s">
        <v>190</v>
      </c>
      <c r="F62">
        <v>25</v>
      </c>
      <c r="G62">
        <v>19</v>
      </c>
      <c r="H62">
        <v>475</v>
      </c>
      <c r="K62" s="17">
        <v>475</v>
      </c>
      <c r="L62" s="4">
        <v>3409.2701480532205</v>
      </c>
      <c r="M62" s="4"/>
      <c r="N62" s="6"/>
      <c r="O62" s="19">
        <v>21.9</v>
      </c>
      <c r="P62" s="5">
        <f>ROUND((ESPRIM[[#This Row],[入金額（元）]]-ESPRIM[[#This Row],[出金額（元）]])*ESPRIM[[#This Row],[為替レート]],0)</f>
        <v>-10403</v>
      </c>
      <c r="Q62" s="5">
        <f>IFERROR(Q61+ESPRIM[[#This Row],[残高増減（円）]],ESPRIM[[#This Row],[残高増減（円）]])</f>
        <v>79306</v>
      </c>
      <c r="R62" s="5" t="s">
        <v>152</v>
      </c>
      <c r="T62" t="s">
        <v>209</v>
      </c>
      <c r="U62" t="s">
        <v>40</v>
      </c>
      <c r="V62" t="s">
        <v>216</v>
      </c>
      <c r="W62" t="s">
        <v>211</v>
      </c>
      <c r="X62" t="str">
        <f t="shared" si="3"/>
        <v>PO-0016_発注書_PUお食事エプロン検品19ｈ(475元×21.9円/元)</v>
      </c>
      <c r="Y62" s="7" t="b">
        <v>1</v>
      </c>
      <c r="AA62" s="7" t="b">
        <v>0</v>
      </c>
      <c r="AB62" s="1">
        <f>ESPRIM[[#This Row],[日付]]</f>
        <v>45959</v>
      </c>
      <c r="AC62" t="s">
        <v>40</v>
      </c>
      <c r="AD62" t="s">
        <v>216</v>
      </c>
      <c r="AI62" s="14">
        <f>ESPRIM[[#This Row],[残高増減（円）]]</f>
        <v>-10403</v>
      </c>
      <c r="AQ62" s="14">
        <f>ESPRIM[[#This Row],[残高増減（円）]]</f>
        <v>-10403</v>
      </c>
      <c r="AS62" t="str">
        <f t="shared" si="6"/>
        <v>OCS PO-0018_発注書_マザーズリュック サンプル 2024.10.23(235元×21.9円/元)</v>
      </c>
      <c r="AT62" s="14">
        <f t="shared" si="7"/>
        <v>0</v>
      </c>
      <c r="AX62" s="1"/>
      <c r="BG62" t="s">
        <v>209</v>
      </c>
      <c r="BH62" t="s">
        <v>40</v>
      </c>
      <c r="BI62" t="s">
        <v>216</v>
      </c>
      <c r="BJ62" t="s">
        <v>211</v>
      </c>
    </row>
    <row r="63" spans="1:62" x14ac:dyDescent="0.55000000000000004">
      <c r="A63">
        <v>62</v>
      </c>
      <c r="B63" s="1">
        <v>45960</v>
      </c>
      <c r="C63" t="s">
        <v>108</v>
      </c>
      <c r="D63" t="s">
        <v>191</v>
      </c>
      <c r="F63">
        <v>25</v>
      </c>
      <c r="G63">
        <v>18</v>
      </c>
      <c r="H63">
        <v>450</v>
      </c>
      <c r="K63" s="17">
        <v>450</v>
      </c>
      <c r="L63" s="4">
        <v>2959.2701480532205</v>
      </c>
      <c r="M63" s="4"/>
      <c r="N63" s="6"/>
      <c r="O63" s="19">
        <v>21.9</v>
      </c>
      <c r="P63" s="5">
        <f>ROUND((ESPRIM[[#This Row],[入金額（元）]]-ESPRIM[[#This Row],[出金額（元）]])*ESPRIM[[#This Row],[為替レート]],0)</f>
        <v>-9855</v>
      </c>
      <c r="Q63" s="5">
        <f>IFERROR(Q62+ESPRIM[[#This Row],[残高増減（円）]],ESPRIM[[#This Row],[残高増減（円）]])</f>
        <v>69451</v>
      </c>
      <c r="R63" s="5" t="s">
        <v>152</v>
      </c>
      <c r="T63" t="s">
        <v>209</v>
      </c>
      <c r="U63" t="s">
        <v>40</v>
      </c>
      <c r="V63" t="s">
        <v>216</v>
      </c>
      <c r="W63" t="s">
        <v>211</v>
      </c>
      <c r="X63" t="str">
        <f t="shared" si="3"/>
        <v>PO-0016_発注書_PUお食事エプロン検品18ｈ(450元×21.9円/元)</v>
      </c>
      <c r="Y63" s="7" t="b">
        <v>1</v>
      </c>
      <c r="AA63" s="7" t="b">
        <v>0</v>
      </c>
      <c r="AB63" s="1">
        <f>ESPRIM[[#This Row],[日付]]</f>
        <v>45960</v>
      </c>
      <c r="AC63" t="s">
        <v>40</v>
      </c>
      <c r="AD63" t="s">
        <v>216</v>
      </c>
      <c r="AI63" s="14">
        <f>ESPRIM[[#This Row],[残高増減（円）]]</f>
        <v>-9855</v>
      </c>
      <c r="AQ63" s="14">
        <f>ESPRIM[[#This Row],[残高増減（円）]]</f>
        <v>-9855</v>
      </c>
      <c r="AS63" t="str">
        <f>$D75&amp;"("&amp;$K75&amp;"元"&amp;"×"&amp;$O75&amp;"円/元)"</f>
        <v>(元×円/元)</v>
      </c>
      <c r="AT63" s="14">
        <f>$R75</f>
        <v>0</v>
      </c>
      <c r="AX63" s="1"/>
      <c r="BG63" t="s">
        <v>209</v>
      </c>
      <c r="BH63" t="s">
        <v>40</v>
      </c>
      <c r="BI63" t="s">
        <v>216</v>
      </c>
      <c r="BJ63" t="s">
        <v>211</v>
      </c>
    </row>
    <row r="64" spans="1:62" x14ac:dyDescent="0.55000000000000004">
      <c r="A64">
        <v>63</v>
      </c>
      <c r="B64" s="1">
        <v>45961</v>
      </c>
      <c r="C64" t="s">
        <v>108</v>
      </c>
      <c r="D64" t="s">
        <v>192</v>
      </c>
      <c r="F64">
        <v>25</v>
      </c>
      <c r="G64">
        <v>9</v>
      </c>
      <c r="H64">
        <v>225</v>
      </c>
      <c r="K64" s="17">
        <v>225</v>
      </c>
      <c r="L64" s="4">
        <v>2734.2701480532205</v>
      </c>
      <c r="M64" s="4"/>
      <c r="N64" s="6"/>
      <c r="O64" s="19">
        <v>21.9</v>
      </c>
      <c r="P64" s="5">
        <f>ROUND((ESPRIM[[#This Row],[入金額（元）]]-ESPRIM[[#This Row],[出金額（元）]])*ESPRIM[[#This Row],[為替レート]],0)</f>
        <v>-4928</v>
      </c>
      <c r="Q64" s="5">
        <f>IFERROR(Q63+ESPRIM[[#This Row],[残高増減（円）]],ESPRIM[[#This Row],[残高増減（円）]])</f>
        <v>64523</v>
      </c>
      <c r="R64" s="5" t="s">
        <v>152</v>
      </c>
      <c r="T64" t="s">
        <v>209</v>
      </c>
      <c r="U64" t="s">
        <v>40</v>
      </c>
      <c r="V64" t="s">
        <v>216</v>
      </c>
      <c r="W64" t="s">
        <v>211</v>
      </c>
      <c r="X64" t="str">
        <f t="shared" si="3"/>
        <v>PO-0016_発注書_PUお食事エプロン検品9ｈ(225元×21.9円/元)</v>
      </c>
      <c r="Y64" s="7" t="b">
        <v>1</v>
      </c>
      <c r="AA64" s="7" t="b">
        <v>0</v>
      </c>
      <c r="AB64" s="1">
        <f>ESPRIM[[#This Row],[日付]]</f>
        <v>45961</v>
      </c>
      <c r="AC64" t="s">
        <v>40</v>
      </c>
      <c r="AD64" t="s">
        <v>216</v>
      </c>
      <c r="AI64" s="14">
        <f>ESPRIM[[#This Row],[残高増減（円）]]</f>
        <v>-4928</v>
      </c>
      <c r="AQ64" s="14">
        <f>ESPRIM[[#This Row],[残高増減（円）]]</f>
        <v>-4928</v>
      </c>
      <c r="AS64" t="str">
        <f>$D76&amp;"("&amp;$K76&amp;"元"&amp;"×"&amp;$O76&amp;"円/元)"</f>
        <v>(元×円/元)</v>
      </c>
      <c r="AT64" s="14">
        <f>$R76</f>
        <v>0</v>
      </c>
      <c r="AX64" s="1"/>
      <c r="BG64" t="s">
        <v>209</v>
      </c>
      <c r="BH64" t="s">
        <v>40</v>
      </c>
      <c r="BI64" t="s">
        <v>216</v>
      </c>
      <c r="BJ64" t="s">
        <v>211</v>
      </c>
    </row>
    <row r="65" spans="1:62" x14ac:dyDescent="0.55000000000000004">
      <c r="A65">
        <v>64</v>
      </c>
      <c r="B65" s="1">
        <v>45962</v>
      </c>
      <c r="C65" t="s">
        <v>108</v>
      </c>
      <c r="D65" t="s">
        <v>193</v>
      </c>
      <c r="F65">
        <v>25</v>
      </c>
      <c r="G65">
        <v>1</v>
      </c>
      <c r="H65">
        <v>25</v>
      </c>
      <c r="K65" s="17">
        <v>25</v>
      </c>
      <c r="L65" s="4">
        <v>2709.2701480532205</v>
      </c>
      <c r="M65" s="4"/>
      <c r="N65" s="6"/>
      <c r="O65" s="19">
        <v>21.9</v>
      </c>
      <c r="P65" s="5">
        <f>ROUND((ESPRIM[[#This Row],[入金額（元）]]-ESPRIM[[#This Row],[出金額（元）]])*ESPRIM[[#This Row],[為替レート]],0)</f>
        <v>-548</v>
      </c>
      <c r="Q65" s="5">
        <f>IFERROR(Q64+ESPRIM[[#This Row],[残高増減（円）]],ESPRIM[[#This Row],[残高増減（円）]])</f>
        <v>63975</v>
      </c>
      <c r="R65" s="5" t="s">
        <v>152</v>
      </c>
      <c r="T65" t="s">
        <v>209</v>
      </c>
      <c r="U65" t="s">
        <v>40</v>
      </c>
      <c r="V65" t="s">
        <v>216</v>
      </c>
      <c r="W65" t="s">
        <v>211</v>
      </c>
      <c r="X65" t="str">
        <f t="shared" si="3"/>
        <v>PO-0016_発注書_PUお食事エプロン検品1ｈ(25元×21.9円/元)</v>
      </c>
      <c r="Y65" s="7" t="b">
        <v>1</v>
      </c>
      <c r="AA65" s="7" t="b">
        <v>0</v>
      </c>
      <c r="AB65" s="1">
        <f>ESPRIM[[#This Row],[日付]]</f>
        <v>45962</v>
      </c>
      <c r="AC65" t="s">
        <v>40</v>
      </c>
      <c r="AD65" t="s">
        <v>216</v>
      </c>
      <c r="AI65" s="14">
        <f>ESPRIM[[#This Row],[残高増減（円）]]</f>
        <v>-548</v>
      </c>
      <c r="AQ65" s="14">
        <f>ESPRIM[[#This Row],[残高増減（円）]]</f>
        <v>-548</v>
      </c>
      <c r="AS65" t="str">
        <f>$D77&amp;"("&amp;$K77&amp;"元"&amp;"×"&amp;$O77&amp;"円/元)"</f>
        <v>(元×円/元)</v>
      </c>
      <c r="AT65" s="14">
        <f>$R77</f>
        <v>0</v>
      </c>
      <c r="AX65" s="1"/>
      <c r="BG65" t="s">
        <v>209</v>
      </c>
      <c r="BH65" t="s">
        <v>40</v>
      </c>
      <c r="BI65" t="s">
        <v>216</v>
      </c>
      <c r="BJ65" t="s">
        <v>211</v>
      </c>
    </row>
    <row r="66" spans="1:62" x14ac:dyDescent="0.55000000000000004">
      <c r="A66">
        <v>65</v>
      </c>
      <c r="B66" s="1">
        <v>45980</v>
      </c>
      <c r="C66" t="s">
        <v>63</v>
      </c>
      <c r="D66" t="s">
        <v>194</v>
      </c>
      <c r="F66">
        <v>23</v>
      </c>
      <c r="G66">
        <v>1</v>
      </c>
      <c r="H66">
        <v>23</v>
      </c>
      <c r="K66" s="17">
        <v>23</v>
      </c>
      <c r="L66" s="4">
        <v>2686.2701480532205</v>
      </c>
      <c r="M66" s="4"/>
      <c r="N66" s="6"/>
      <c r="O66" s="19">
        <v>21.9</v>
      </c>
      <c r="P66" s="5">
        <f>ROUND((ESPRIM[[#This Row],[入金額（元）]]-ESPRIM[[#This Row],[出金額（元）]])*ESPRIM[[#This Row],[為替レート]],0)</f>
        <v>-504</v>
      </c>
      <c r="Q66" s="5">
        <f>IFERROR(Q65+ESPRIM[[#This Row],[残高増減（円）]],ESPRIM[[#This Row],[残高増減（円）]])</f>
        <v>63471</v>
      </c>
      <c r="R66" s="5" t="s">
        <v>152</v>
      </c>
      <c r="T66" t="s">
        <v>209</v>
      </c>
      <c r="U66" t="s">
        <v>40</v>
      </c>
      <c r="V66" t="s">
        <v>215</v>
      </c>
      <c r="W66" t="s">
        <v>211</v>
      </c>
      <c r="X66" t="str">
        <f t="shared" ref="X66:X73" si="8">$D66&amp;"("&amp;$K66&amp;"元"&amp;"×"&amp;$O66&amp;"円/元)"</f>
        <v>PUお食事エプロン不良品返品の国内送料(23元×21.9円/元)</v>
      </c>
      <c r="Y66" s="7" t="b">
        <v>1</v>
      </c>
      <c r="AA66" s="7" t="b">
        <v>0</v>
      </c>
      <c r="AB66" s="1">
        <f>ESPRIM[[#This Row],[日付]]</f>
        <v>45980</v>
      </c>
      <c r="AC66" t="s">
        <v>40</v>
      </c>
      <c r="AD66" t="s">
        <v>215</v>
      </c>
      <c r="AI66" s="14">
        <f>ESPRIM[[#This Row],[残高増減（円）]]</f>
        <v>-504</v>
      </c>
      <c r="AQ66" s="14">
        <f>ESPRIM[[#This Row],[残高増減（円）]]</f>
        <v>-504</v>
      </c>
      <c r="AS66" t="str">
        <f>$D78&amp;"("&amp;$K78&amp;"元"&amp;"×"&amp;$O78&amp;"円/元)"</f>
        <v>(元×円/元)</v>
      </c>
      <c r="AT66" s="14">
        <f>$R78</f>
        <v>0</v>
      </c>
      <c r="AX66" s="1"/>
      <c r="BG66" t="s">
        <v>209</v>
      </c>
      <c r="BH66" t="s">
        <v>40</v>
      </c>
      <c r="BI66" t="s">
        <v>215</v>
      </c>
      <c r="BJ66" t="s">
        <v>211</v>
      </c>
    </row>
    <row r="67" spans="1:62" x14ac:dyDescent="0.55000000000000004">
      <c r="A67">
        <v>66</v>
      </c>
      <c r="B67" s="1">
        <v>45981</v>
      </c>
      <c r="C67" t="s">
        <v>86</v>
      </c>
      <c r="D67" t="s">
        <v>195</v>
      </c>
      <c r="F67">
        <v>235</v>
      </c>
      <c r="G67">
        <v>1</v>
      </c>
      <c r="H67">
        <v>235</v>
      </c>
      <c r="K67" s="17">
        <v>235</v>
      </c>
      <c r="L67" s="4">
        <v>2451.2701480532205</v>
      </c>
      <c r="M67" s="4" t="s">
        <v>196</v>
      </c>
      <c r="N67" s="6">
        <v>26020203123</v>
      </c>
      <c r="O67" s="19">
        <v>21.9</v>
      </c>
      <c r="P67" s="5">
        <f>ROUND((ESPRIM[[#This Row],[入金額（元）]]-ESPRIM[[#This Row],[出金額（元）]])*ESPRIM[[#This Row],[為替レート]],0)</f>
        <v>-5147</v>
      </c>
      <c r="Q67" s="5">
        <f>IFERROR(Q66+ESPRIM[[#This Row],[残高増減（円）]],ESPRIM[[#This Row],[残高増減（円）]])</f>
        <v>58324</v>
      </c>
      <c r="R67" s="5"/>
      <c r="T67" t="s">
        <v>209</v>
      </c>
      <c r="U67" t="s">
        <v>210</v>
      </c>
      <c r="W67" t="s">
        <v>219</v>
      </c>
      <c r="X67" t="str">
        <f t="shared" si="8"/>
        <v>OCS PO-0018_発注書_マザーズリュック サンプル 2024.10.23(235元×21.9円/元)</v>
      </c>
      <c r="Y67" s="7" t="b">
        <v>1</v>
      </c>
      <c r="AA67" s="7" t="b">
        <v>0</v>
      </c>
      <c r="AB67" s="1">
        <f>ESPRIM[[#This Row],[日付]]</f>
        <v>45981</v>
      </c>
      <c r="AC67" t="s">
        <v>210</v>
      </c>
      <c r="AI67" s="14">
        <f>ESPRIM[[#This Row],[残高増減（円）]]</f>
        <v>-5147</v>
      </c>
      <c r="AQ67" s="14">
        <f>ESPRIM[[#This Row],[残高増減（円）]]</f>
        <v>-5147</v>
      </c>
      <c r="AS67" t="str">
        <f>$D79&amp;"("&amp;$K79&amp;"元"&amp;"×"&amp;$O79&amp;"円/元)"</f>
        <v>(元×円/元)</v>
      </c>
      <c r="AT67" s="14">
        <f>$R79</f>
        <v>0</v>
      </c>
      <c r="AX67" s="1"/>
      <c r="BG67" t="s">
        <v>209</v>
      </c>
      <c r="BH67" t="s">
        <v>210</v>
      </c>
      <c r="BJ67" t="s">
        <v>219</v>
      </c>
    </row>
    <row r="68" spans="1:62" x14ac:dyDescent="0.55000000000000004">
      <c r="A68">
        <v>67</v>
      </c>
      <c r="B68" s="1">
        <v>45982</v>
      </c>
      <c r="C68" t="s">
        <v>89</v>
      </c>
      <c r="D68" t="s">
        <v>197</v>
      </c>
      <c r="F68">
        <v>6070</v>
      </c>
      <c r="G68">
        <v>1</v>
      </c>
      <c r="H68">
        <v>6070</v>
      </c>
      <c r="K68" s="17">
        <v>6070</v>
      </c>
      <c r="L68" s="4">
        <v>-3618.7298519467795</v>
      </c>
      <c r="M68" s="4"/>
      <c r="N68" s="6"/>
      <c r="O68" s="19">
        <v>21.9</v>
      </c>
      <c r="P68" s="5">
        <f>ROUND((ESPRIM[[#This Row],[入金額（元）]]-ESPRIM[[#This Row],[出金額（元）]])*ESPRIM[[#This Row],[為替レート]],0)</f>
        <v>-132933</v>
      </c>
      <c r="Q68" s="5">
        <f>IFERROR(Q67+ESPRIM[[#This Row],[残高増減（円）]],ESPRIM[[#This Row],[残高増減（円）]])</f>
        <v>-74609</v>
      </c>
      <c r="R68" s="5" t="s">
        <v>207</v>
      </c>
      <c r="T68" t="s">
        <v>209</v>
      </c>
      <c r="U68" t="s">
        <v>40</v>
      </c>
      <c r="V68" t="s">
        <v>215</v>
      </c>
      <c r="W68" t="s">
        <v>211</v>
      </c>
      <c r="X68" t="str">
        <f t="shared" si="8"/>
        <v>PO-0019_発注書_PUお食事エプロン　600個(6070元×21.9円/元)</v>
      </c>
      <c r="Y68" s="7" t="b">
        <v>1</v>
      </c>
      <c r="AA68" s="7" t="b">
        <v>0</v>
      </c>
      <c r="AB68" s="37" t="b">
        <v>0</v>
      </c>
      <c r="AC68" t="s">
        <v>40</v>
      </c>
      <c r="AD68" t="s">
        <v>215</v>
      </c>
      <c r="AI68" s="14">
        <f>ESPRIM[[#This Row],[残高増減（円）]]</f>
        <v>-132933</v>
      </c>
      <c r="AQ68" s="14">
        <f>ESPRIM[[#This Row],[残高増減（円）]]</f>
        <v>-132933</v>
      </c>
      <c r="AS68" t="str">
        <f t="shared" ref="AS68:AS73" si="9">$D68&amp;"("&amp;$K68&amp;"元"&amp;"×"&amp;$O68&amp;"円/元)"</f>
        <v>PO-0019_発注書_PUお食事エプロン　600個(6070元×21.9円/元)</v>
      </c>
      <c r="AT68" s="14" t="str">
        <f t="shared" ref="AT68:AT73" si="10">$R68</f>
        <v>PO-0019</v>
      </c>
      <c r="AX68" s="1"/>
      <c r="BG68" t="s">
        <v>209</v>
      </c>
      <c r="BH68" t="s">
        <v>40</v>
      </c>
      <c r="BI68" t="s">
        <v>215</v>
      </c>
      <c r="BJ68" t="s">
        <v>211</v>
      </c>
    </row>
    <row r="69" spans="1:62" x14ac:dyDescent="0.55000000000000004">
      <c r="A69" s="29">
        <v>68</v>
      </c>
      <c r="B69" s="30">
        <v>45988</v>
      </c>
      <c r="C69" s="29" t="s">
        <v>72</v>
      </c>
      <c r="D69" s="29">
        <v>300000</v>
      </c>
      <c r="E69" s="29" t="s">
        <v>73</v>
      </c>
      <c r="F69" s="29">
        <v>22.37</v>
      </c>
      <c r="G69" s="29"/>
      <c r="H69" s="29">
        <v>0</v>
      </c>
      <c r="I69" s="29"/>
      <c r="J69" s="29">
        <v>13410.818059901654</v>
      </c>
      <c r="K69" s="31">
        <v>0</v>
      </c>
      <c r="L69" s="32">
        <v>9792.0882079548755</v>
      </c>
      <c r="M69" s="32"/>
      <c r="N69" s="34"/>
      <c r="O69" s="35">
        <v>22.37</v>
      </c>
      <c r="P69" s="39">
        <f>ROUND((ESPRIM[[#This Row],[入金額（元）]]-ESPRIM[[#This Row],[出金額（元）]])*ESPRIM[[#This Row],[為替レート]],0)</f>
        <v>300000</v>
      </c>
      <c r="Q69" s="36">
        <f>IFERROR(Q68+ESPRIM[[#This Row],[残高増減（円）]],ESPRIM[[#This Row],[残高増減（円）]])</f>
        <v>225391</v>
      </c>
      <c r="R69" s="36"/>
      <c r="S69" s="29"/>
      <c r="T69" s="29"/>
      <c r="U69" s="29"/>
      <c r="V69" s="29"/>
      <c r="W69" s="29"/>
      <c r="X69" s="29" t="str">
        <f t="shared" si="8"/>
        <v>300000(0元×22.37円/元)</v>
      </c>
      <c r="Y69" s="38" t="b">
        <v>1</v>
      </c>
      <c r="AA69" s="7" t="b">
        <v>0</v>
      </c>
      <c r="AB69" s="37" t="b">
        <v>0</v>
      </c>
      <c r="AI69" s="14">
        <f>ESPRIM[[#This Row],[残高増減（円）]]</f>
        <v>300000</v>
      </c>
      <c r="AQ69" s="14">
        <f>ESPRIM[[#This Row],[残高増減（円）]]</f>
        <v>300000</v>
      </c>
      <c r="AS69" t="str">
        <f t="shared" si="9"/>
        <v>300000(0元×22.37円/元)</v>
      </c>
      <c r="AT69" s="14">
        <f t="shared" si="10"/>
        <v>0</v>
      </c>
      <c r="AX69" s="1"/>
    </row>
    <row r="70" spans="1:62" x14ac:dyDescent="0.55000000000000004">
      <c r="A70" s="29">
        <v>69</v>
      </c>
      <c r="B70" s="30">
        <v>45988</v>
      </c>
      <c r="C70" s="29" t="s">
        <v>185</v>
      </c>
      <c r="D70" s="29" t="s">
        <v>186</v>
      </c>
      <c r="E70" s="29"/>
      <c r="F70" s="29"/>
      <c r="G70" s="29"/>
      <c r="H70" s="29"/>
      <c r="I70" s="29"/>
      <c r="J70" s="29">
        <v>-268.2163611980331</v>
      </c>
      <c r="K70" s="31">
        <v>0</v>
      </c>
      <c r="L70" s="32">
        <v>9523.8718467568433</v>
      </c>
      <c r="M70" s="32"/>
      <c r="N70" s="34"/>
      <c r="O70" s="35">
        <v>22.37</v>
      </c>
      <c r="P70" s="36">
        <f>ROUND((ESPRIM[[#This Row],[入金額（元）]]-ESPRIM[[#This Row],[出金額（元）]])*ESPRIM[[#This Row],[為替レート]],0)</f>
        <v>-6000</v>
      </c>
      <c r="Q70" s="36">
        <f>IFERROR(Q69+ESPRIM[[#This Row],[残高増減（円）]],ESPRIM[[#This Row],[残高増減（円）]])</f>
        <v>219391</v>
      </c>
      <c r="R70" s="36"/>
      <c r="S70" s="29"/>
      <c r="T70" s="29"/>
      <c r="U70" s="29"/>
      <c r="V70" s="29"/>
      <c r="W70" s="29"/>
      <c r="X70" s="29" t="str">
        <f t="shared" si="8"/>
        <v>入金手数料2%(0元×22.37円/元)</v>
      </c>
      <c r="Y70" s="38" t="b">
        <v>1</v>
      </c>
      <c r="AA70" s="7" t="b">
        <v>0</v>
      </c>
      <c r="AB70" s="37" t="b">
        <v>0</v>
      </c>
      <c r="AI70" s="14">
        <f>ESPRIM[[#This Row],[残高増減（円）]]</f>
        <v>-6000</v>
      </c>
      <c r="AQ70" s="14">
        <f>ESPRIM[[#This Row],[残高増減（円）]]</f>
        <v>-6000</v>
      </c>
      <c r="AS70" t="str">
        <f t="shared" si="9"/>
        <v>入金手数料2%(0元×22.37円/元)</v>
      </c>
      <c r="AT70" s="14">
        <f t="shared" si="10"/>
        <v>0</v>
      </c>
      <c r="AX70" s="1"/>
    </row>
    <row r="71" spans="1:62" x14ac:dyDescent="0.55000000000000004">
      <c r="A71">
        <v>70</v>
      </c>
      <c r="B71" s="1">
        <v>45989</v>
      </c>
      <c r="C71" t="s">
        <v>63</v>
      </c>
      <c r="D71" t="s">
        <v>198</v>
      </c>
      <c r="F71">
        <v>18</v>
      </c>
      <c r="G71">
        <v>1</v>
      </c>
      <c r="H71">
        <v>18</v>
      </c>
      <c r="K71" s="17">
        <v>18</v>
      </c>
      <c r="L71" s="4">
        <v>9505.8718467568433</v>
      </c>
      <c r="M71" s="4"/>
      <c r="N71" s="6"/>
      <c r="O71" s="19">
        <v>22.37</v>
      </c>
      <c r="P71" s="5">
        <f>ROUND((ESPRIM[[#This Row],[入金額（元）]]-ESPRIM[[#This Row],[出金額（元）]])*ESPRIM[[#This Row],[為替レート]],0)</f>
        <v>-403</v>
      </c>
      <c r="Q71" s="5">
        <f>IFERROR(Q70+ESPRIM[[#This Row],[残高増減（円）]],ESPRIM[[#This Row],[残高増減（円）]])</f>
        <v>218988</v>
      </c>
      <c r="R71" s="5" t="s">
        <v>207</v>
      </c>
      <c r="T71" t="s">
        <v>209</v>
      </c>
      <c r="U71" t="s">
        <v>40</v>
      </c>
      <c r="V71" t="s">
        <v>215</v>
      </c>
      <c r="W71" t="s">
        <v>211</v>
      </c>
      <c r="X71" t="str">
        <f t="shared" si="8"/>
        <v>PO-0019_発注書 600個洗濯タグを工場に発送する国内送料（pu）(18元×22.37円/元)</v>
      </c>
      <c r="Y71" s="7" t="b">
        <v>1</v>
      </c>
      <c r="AA71" s="7" t="b">
        <v>0</v>
      </c>
      <c r="AB71" s="37" t="b">
        <v>0</v>
      </c>
      <c r="AC71" t="s">
        <v>40</v>
      </c>
      <c r="AD71" t="s">
        <v>215</v>
      </c>
      <c r="AI71" s="14">
        <f>ESPRIM[[#This Row],[残高増減（円）]]</f>
        <v>-403</v>
      </c>
      <c r="AQ71" s="14">
        <f>ESPRIM[[#This Row],[残高増減（円）]]</f>
        <v>-403</v>
      </c>
      <c r="AS71" t="str">
        <f t="shared" si="9"/>
        <v>PO-0019_発注書 600個洗濯タグを工場に発送する国内送料（pu）(18元×22.37円/元)</v>
      </c>
      <c r="AT71" s="14" t="str">
        <f t="shared" si="10"/>
        <v>PO-0019</v>
      </c>
      <c r="AX71" s="1"/>
      <c r="BG71" t="s">
        <v>209</v>
      </c>
      <c r="BH71" t="s">
        <v>40</v>
      </c>
      <c r="BI71" t="s">
        <v>215</v>
      </c>
      <c r="BJ71" t="s">
        <v>211</v>
      </c>
    </row>
    <row r="72" spans="1:62" x14ac:dyDescent="0.55000000000000004">
      <c r="A72">
        <v>71</v>
      </c>
      <c r="B72" s="1">
        <v>46008</v>
      </c>
      <c r="C72" t="s">
        <v>86</v>
      </c>
      <c r="D72" t="s">
        <v>199</v>
      </c>
      <c r="F72">
        <v>562.5</v>
      </c>
      <c r="G72">
        <v>1</v>
      </c>
      <c r="H72">
        <v>562.5</v>
      </c>
      <c r="K72" s="17">
        <v>562.5</v>
      </c>
      <c r="L72" s="4">
        <v>8943.3718467568433</v>
      </c>
      <c r="M72" s="4" t="s">
        <v>200</v>
      </c>
      <c r="N72" s="6" t="s">
        <v>201</v>
      </c>
      <c r="O72" s="19">
        <v>22.37</v>
      </c>
      <c r="P72" s="5">
        <f>ROUND((ESPRIM[[#This Row],[入金額（元）]]-ESPRIM[[#This Row],[出金額（元）]])*ESPRIM[[#This Row],[為替レート]],0)</f>
        <v>-12583</v>
      </c>
      <c r="Q72" s="5">
        <f>IFERROR(Q71+ESPRIM[[#This Row],[残高増減（円）]],ESPRIM[[#This Row],[残高増減（円）]])</f>
        <v>206405</v>
      </c>
      <c r="R72" s="5" t="s">
        <v>152</v>
      </c>
      <c r="T72" t="s">
        <v>209</v>
      </c>
      <c r="U72" t="s">
        <v>40</v>
      </c>
      <c r="V72" t="s">
        <v>217</v>
      </c>
      <c r="W72" t="s">
        <v>211</v>
      </c>
      <c r="X72" t="str">
        <f t="shared" si="8"/>
        <v>DQS　PO-0016_発注書_PUお食事エプロン　合計3箱　2024.11.8(562.5元×22.37円/元)</v>
      </c>
      <c r="Y72" s="7" t="b">
        <v>1</v>
      </c>
      <c r="AA72" s="7" t="b">
        <v>0</v>
      </c>
      <c r="AB72" s="37" t="b">
        <v>0</v>
      </c>
      <c r="AC72" t="s">
        <v>40</v>
      </c>
      <c r="AD72" t="s">
        <v>217</v>
      </c>
      <c r="AI72" s="14">
        <f>ESPRIM[[#This Row],[残高増減（円）]]</f>
        <v>-12583</v>
      </c>
      <c r="AQ72" s="14">
        <f>ESPRIM[[#This Row],[残高増減（円）]]</f>
        <v>-12583</v>
      </c>
      <c r="AS72" t="str">
        <f t="shared" si="9"/>
        <v>DQS　PO-0016_発注書_PUお食事エプロン　合計3箱　2024.11.8(562.5元×22.37円/元)</v>
      </c>
      <c r="AT72" s="14" t="str">
        <f t="shared" si="10"/>
        <v>PO-0016</v>
      </c>
      <c r="AX72" s="1"/>
      <c r="BG72" t="s">
        <v>209</v>
      </c>
      <c r="BH72" t="s">
        <v>40</v>
      </c>
      <c r="BI72" t="s">
        <v>217</v>
      </c>
      <c r="BJ72" t="s">
        <v>211</v>
      </c>
    </row>
    <row r="73" spans="1:62" x14ac:dyDescent="0.55000000000000004">
      <c r="A73">
        <v>72</v>
      </c>
      <c r="B73" s="1">
        <v>46008</v>
      </c>
      <c r="C73" t="s">
        <v>86</v>
      </c>
      <c r="D73" t="s">
        <v>202</v>
      </c>
      <c r="F73">
        <v>257</v>
      </c>
      <c r="G73">
        <v>1</v>
      </c>
      <c r="H73">
        <v>257</v>
      </c>
      <c r="K73" s="17">
        <v>257</v>
      </c>
      <c r="L73" s="4">
        <v>8686.3718467568433</v>
      </c>
      <c r="M73" s="4" t="s">
        <v>203</v>
      </c>
      <c r="N73" s="6" t="s">
        <v>204</v>
      </c>
      <c r="O73" s="19">
        <v>22.37</v>
      </c>
      <c r="P73" s="5">
        <f>ROUND((ESPRIM[[#This Row],[入金額（元）]]-ESPRIM[[#This Row],[出金額（元）]])*ESPRIM[[#This Row],[為替レート]],0)</f>
        <v>-5749</v>
      </c>
      <c r="Q73" s="5">
        <f>IFERROR(Q72+ESPRIM[[#This Row],[残高増減（円）]],ESPRIM[[#This Row],[残高増減（円）]])</f>
        <v>200656</v>
      </c>
      <c r="R73" s="5"/>
      <c r="T73" t="s">
        <v>209</v>
      </c>
      <c r="U73" t="s">
        <v>40</v>
      </c>
      <c r="V73" t="s">
        <v>217</v>
      </c>
      <c r="W73" t="s">
        <v>211</v>
      </c>
      <c r="X73" t="str">
        <f t="shared" si="8"/>
        <v>DQS PO-0016_発注書_PUお食事エプロン　合計2箱　2024.11.8(257元×22.37円/元)</v>
      </c>
      <c r="Y73" s="7" t="b">
        <v>1</v>
      </c>
      <c r="AA73" s="7" t="b">
        <v>0</v>
      </c>
      <c r="AB73" s="37" t="b">
        <v>0</v>
      </c>
      <c r="AC73" t="s">
        <v>40</v>
      </c>
      <c r="AD73" t="s">
        <v>217</v>
      </c>
      <c r="AI73" s="14">
        <f>ESPRIM[[#This Row],[残高増減（円）]]</f>
        <v>-5749</v>
      </c>
      <c r="AQ73" s="14">
        <f>ESPRIM[[#This Row],[残高増減（円）]]</f>
        <v>-5749</v>
      </c>
      <c r="AS73" t="str">
        <f t="shared" si="9"/>
        <v>DQS PO-0016_発注書_PUお食事エプロン　合計2箱　2024.11.8(257元×22.37円/元)</v>
      </c>
      <c r="AT73" s="14">
        <f t="shared" si="10"/>
        <v>0</v>
      </c>
      <c r="AX73" s="1"/>
      <c r="BG73" t="s">
        <v>209</v>
      </c>
      <c r="BH73" t="s">
        <v>40</v>
      </c>
      <c r="BI73" t="s">
        <v>217</v>
      </c>
      <c r="BJ73" t="s">
        <v>211</v>
      </c>
    </row>
    <row r="74" spans="1:62" x14ac:dyDescent="0.55000000000000004">
      <c r="B74" s="1"/>
      <c r="K74" s="14">
        <f>SUBTOTAL(109,ESPRIM[出金額（元）])</f>
        <v>42521.359999999993</v>
      </c>
      <c r="L74" s="4"/>
      <c r="M74" s="4"/>
      <c r="N74" s="4"/>
      <c r="P74" s="14"/>
      <c r="Q74" s="4"/>
      <c r="R74" s="4"/>
      <c r="AA74" s="7" t="b">
        <v>0</v>
      </c>
      <c r="AB74" s="37" t="b">
        <v>0</v>
      </c>
      <c r="AI74" s="14"/>
      <c r="AQ74" s="14"/>
      <c r="AT74" s="14"/>
      <c r="AX74" s="1"/>
    </row>
  </sheetData>
  <phoneticPr fontId="18"/>
  <dataValidations count="2">
    <dataValidation type="list" allowBlank="1" showInputMessage="1" showErrorMessage="1" sqref="AN20:AN44 AU2:AU73" xr:uid="{9BBC2393-8B67-4D77-A8C0-EC4C6282F27C}">
      <formula1>$BC$2:$BC$6</formula1>
    </dataValidation>
    <dataValidation type="list" allowBlank="1" showInputMessage="1" showErrorMessage="1" sqref="AC2:AC73 AK2:AK73" xr:uid="{DCC06A6F-D70F-4A55-A690-93D764984C2C}">
      <formula1>$BE$2:$BE$4</formula1>
    </dataValidation>
  </dataValidations>
  <pageMargins left="0.7" right="0.7" top="0.75" bottom="0.75" header="0.3" footer="0.3"/>
  <pageSetup paperSize="9" scale="61" fitToHeight="0" orientation="landscape" horizontalDpi="4294967293" r:id="rId1"/>
  <ignoredErrors>
    <ignoredError sqref="O73 O69:O72 O45:O68 O19:O44 O2:O5 O6:O18" calculatedColumn="1"/>
  </ignoredErrors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journal_sample</vt:lpstr>
      <vt:lpstr>ESPRIM明細→仕訳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大仁皓平</cp:lastModifiedBy>
  <dcterms:created xsi:type="dcterms:W3CDTF">2024-09-29T21:26:58Z</dcterms:created>
  <dcterms:modified xsi:type="dcterms:W3CDTF">2026-02-02T08:33:49Z</dcterms:modified>
</cp:coreProperties>
</file>