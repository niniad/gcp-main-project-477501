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G:\マイドライブ\仕事\書類控え\2023年データ\"/>
    </mc:Choice>
  </mc:AlternateContent>
  <xr:revisionPtr revIDLastSave="0" documentId="13_ncr:1_{7EC92454-63A4-4DF5-B768-7BD9EE624C9A}" xr6:coauthVersionLast="47" xr6:coauthVersionMax="47" xr10:uidLastSave="{00000000-0000-0000-0000-000000000000}"/>
  <bookViews>
    <workbookView xWindow="19110" yWindow="0" windowWidth="19380" windowHeight="20970" firstSheet="1" activeTab="3" xr2:uid="{F8C3CFC3-017B-4620-8AD1-DFB90E9CA41B}"/>
  </bookViews>
  <sheets>
    <sheet name="為替レート表" sheetId="1" r:id="rId1"/>
    <sheet name="ESPRIM" sheetId="4" r:id="rId2"/>
    <sheet name="直行便" sheetId="3" r:id="rId3"/>
    <sheet name="YP" sheetId="2" r:id="rId4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M2" i="2" l="1"/>
  <c r="M3" i="2"/>
  <c r="M4" i="2"/>
  <c r="M5" i="2"/>
  <c r="M6" i="2"/>
  <c r="M7" i="2"/>
  <c r="M8" i="2"/>
  <c r="M9" i="2"/>
  <c r="M10" i="2"/>
  <c r="M11" i="2"/>
  <c r="M12" i="2"/>
  <c r="M13" i="2"/>
  <c r="M14" i="2"/>
  <c r="M15" i="2"/>
  <c r="M16" i="2"/>
  <c r="M17" i="2"/>
  <c r="M18" i="2"/>
  <c r="M19" i="2"/>
  <c r="M20" i="2"/>
  <c r="M21" i="2"/>
  <c r="M22" i="2"/>
  <c r="M23" i="2"/>
  <c r="M24" i="2"/>
  <c r="M25" i="2"/>
  <c r="M26" i="2"/>
  <c r="M27" i="2"/>
  <c r="M28" i="2"/>
  <c r="M29" i="2"/>
  <c r="M30" i="2"/>
  <c r="M31" i="2"/>
  <c r="M32" i="2"/>
  <c r="M33" i="2"/>
  <c r="M34" i="2"/>
  <c r="M35" i="2"/>
  <c r="M36" i="2"/>
  <c r="M37" i="2"/>
  <c r="M38" i="2"/>
  <c r="M39" i="2"/>
  <c r="M40" i="2"/>
  <c r="M41" i="2"/>
  <c r="M42" i="2"/>
  <c r="M43" i="2"/>
  <c r="M44" i="2"/>
  <c r="M45" i="2"/>
  <c r="M46" i="2"/>
  <c r="M47" i="2"/>
  <c r="M48" i="2"/>
  <c r="M49" i="2"/>
  <c r="M50" i="2"/>
  <c r="M51" i="2"/>
  <c r="M52" i="2"/>
  <c r="M53" i="2"/>
  <c r="M54" i="2"/>
  <c r="F2" i="2"/>
  <c r="F46" i="2" l="1"/>
  <c r="I3" i="3"/>
  <c r="K3" i="4"/>
  <c r="K4" i="4"/>
  <c r="K16" i="4"/>
  <c r="K17" i="4"/>
  <c r="K18" i="4"/>
  <c r="K2" i="4"/>
  <c r="L2" i="4" s="1"/>
  <c r="K5" i="4"/>
  <c r="F53" i="2"/>
  <c r="I2" i="3"/>
  <c r="H3" i="2"/>
  <c r="H4" i="2"/>
  <c r="H5" i="2"/>
  <c r="H6" i="2"/>
  <c r="H7" i="2"/>
  <c r="H8" i="2"/>
  <c r="H9" i="2"/>
  <c r="H10" i="2"/>
  <c r="H11" i="2"/>
  <c r="H12" i="2"/>
  <c r="H13" i="2"/>
  <c r="H14" i="2"/>
  <c r="H15" i="2"/>
  <c r="H16" i="2"/>
  <c r="H17" i="2"/>
  <c r="H18" i="2"/>
  <c r="H19" i="2"/>
  <c r="H20" i="2"/>
  <c r="H21" i="2"/>
  <c r="H22" i="2"/>
  <c r="H23" i="2"/>
  <c r="H24" i="2"/>
  <c r="H25" i="2"/>
  <c r="H26" i="2"/>
  <c r="H27" i="2"/>
  <c r="H28" i="2"/>
  <c r="H29" i="2"/>
  <c r="H30" i="2"/>
  <c r="H31" i="2"/>
  <c r="H32" i="2"/>
  <c r="H33" i="2"/>
  <c r="H34" i="2"/>
  <c r="H35" i="2"/>
  <c r="H36" i="2"/>
  <c r="H37" i="2"/>
  <c r="H38" i="2"/>
  <c r="H39" i="2"/>
  <c r="H40" i="2"/>
  <c r="H41" i="2"/>
  <c r="H42" i="2"/>
  <c r="H43" i="2"/>
  <c r="H44" i="2"/>
  <c r="H45" i="2"/>
  <c r="H46" i="2"/>
  <c r="H47" i="2"/>
  <c r="H48" i="2"/>
  <c r="H49" i="2"/>
  <c r="H50" i="2"/>
  <c r="H51" i="2"/>
  <c r="H52" i="2"/>
  <c r="H53" i="2"/>
  <c r="H54" i="2"/>
  <c r="H2" i="2"/>
  <c r="H2" i="3"/>
  <c r="J2" i="3" s="1"/>
  <c r="G2" i="2"/>
  <c r="G3" i="2" s="1"/>
  <c r="G4" i="2" s="1"/>
  <c r="G5" i="2" s="1"/>
  <c r="G6" i="2" s="1"/>
  <c r="G7" i="2" s="1"/>
  <c r="G8" i="2" s="1"/>
  <c r="G9" i="2" s="1"/>
  <c r="G10" i="2" s="1"/>
  <c r="G11" i="2" s="1"/>
  <c r="G12" i="2" s="1"/>
  <c r="G13" i="2" s="1"/>
  <c r="G14" i="2" s="1"/>
  <c r="G15" i="2" s="1"/>
  <c r="G16" i="2" s="1"/>
  <c r="G17" i="2" s="1"/>
  <c r="G18" i="2" s="1"/>
  <c r="G19" i="2" s="1"/>
  <c r="G20" i="2" s="1"/>
  <c r="G21" i="2" s="1"/>
  <c r="G22" i="2" s="1"/>
  <c r="G23" i="2" s="1"/>
  <c r="G24" i="2" s="1"/>
  <c r="G25" i="2" s="1"/>
  <c r="G26" i="2" s="1"/>
  <c r="G27" i="2" s="1"/>
  <c r="G28" i="2" s="1"/>
  <c r="G29" i="2" s="1"/>
  <c r="G30" i="2" s="1"/>
  <c r="G31" i="2" s="1"/>
  <c r="G32" i="2" s="1"/>
  <c r="G33" i="2" s="1"/>
  <c r="G34" i="2" s="1"/>
  <c r="G35" i="2" s="1"/>
  <c r="G36" i="2" s="1"/>
  <c r="G37" i="2" s="1"/>
  <c r="G38" i="2" s="1"/>
  <c r="G39" i="2" s="1"/>
  <c r="G40" i="2" s="1"/>
  <c r="G41" i="2" s="1"/>
  <c r="G42" i="2" s="1"/>
  <c r="G43" i="2" s="1"/>
  <c r="G44" i="2" s="1"/>
  <c r="G45" i="2" s="1"/>
  <c r="G46" i="2" s="1"/>
  <c r="G47" i="2" s="1"/>
  <c r="G48" i="2" s="1"/>
  <c r="G49" i="2" s="1"/>
  <c r="G50" i="2" s="1"/>
  <c r="G51" i="2" s="1"/>
  <c r="G52" i="2" s="1"/>
  <c r="G53" i="2" s="1"/>
  <c r="G54" i="2" s="1"/>
  <c r="G2" i="3"/>
  <c r="G3" i="3" s="1"/>
  <c r="H2" i="4"/>
  <c r="H3" i="4" s="1"/>
  <c r="H4" i="4" s="1"/>
  <c r="H5" i="4" s="1"/>
  <c r="H6" i="4" s="1"/>
  <c r="H7" i="4" s="1"/>
  <c r="H8" i="4" s="1"/>
  <c r="H9" i="4" s="1"/>
  <c r="H10" i="4" s="1"/>
  <c r="H11" i="4" s="1"/>
  <c r="H12" i="4" s="1"/>
  <c r="H13" i="4" s="1"/>
  <c r="H14" i="4" s="1"/>
  <c r="H15" i="4" s="1"/>
  <c r="H16" i="4" s="1"/>
  <c r="H17" i="4" s="1"/>
  <c r="F4" i="3"/>
  <c r="F2" i="3"/>
  <c r="F3" i="3"/>
  <c r="H3" i="3"/>
  <c r="H4" i="3"/>
  <c r="I4" i="3" s="1"/>
  <c r="I37" i="2" l="1"/>
  <c r="I21" i="2"/>
  <c r="I5" i="2"/>
  <c r="I52" i="2"/>
  <c r="I36" i="2"/>
  <c r="I20" i="2"/>
  <c r="I4" i="2"/>
  <c r="I53" i="2"/>
  <c r="I51" i="2"/>
  <c r="I35" i="2"/>
  <c r="I19" i="2"/>
  <c r="I3" i="2"/>
  <c r="I49" i="2"/>
  <c r="I33" i="2"/>
  <c r="I17" i="2"/>
  <c r="I18" i="2"/>
  <c r="I47" i="2"/>
  <c r="I31" i="2"/>
  <c r="I15" i="2"/>
  <c r="I48" i="2"/>
  <c r="I46" i="2"/>
  <c r="I30" i="2"/>
  <c r="I14" i="2"/>
  <c r="I50" i="2"/>
  <c r="I45" i="2"/>
  <c r="I29" i="2"/>
  <c r="I13" i="2"/>
  <c r="I34" i="2"/>
  <c r="I44" i="2"/>
  <c r="I28" i="2"/>
  <c r="I12" i="2"/>
  <c r="I16" i="2"/>
  <c r="I43" i="2"/>
  <c r="I27" i="2"/>
  <c r="I11" i="2"/>
  <c r="I32" i="2"/>
  <c r="I42" i="2"/>
  <c r="I26" i="2"/>
  <c r="I10" i="2"/>
  <c r="I41" i="2"/>
  <c r="I25" i="2"/>
  <c r="I9" i="2"/>
  <c r="I2" i="2"/>
  <c r="I40" i="2"/>
  <c r="I24" i="2"/>
  <c r="I8" i="2"/>
  <c r="I39" i="2"/>
  <c r="I23" i="2"/>
  <c r="I7" i="2"/>
  <c r="I54" i="2"/>
  <c r="K54" i="2"/>
  <c r="I38" i="2"/>
  <c r="I22" i="2"/>
  <c r="I6" i="2"/>
  <c r="K53" i="2"/>
  <c r="K37" i="2"/>
  <c r="K5" i="2"/>
  <c r="K52" i="2"/>
  <c r="K20" i="2"/>
  <c r="K4" i="2"/>
  <c r="K35" i="2"/>
  <c r="K19" i="2"/>
  <c r="K3" i="2"/>
  <c r="L3" i="2" s="1"/>
  <c r="K49" i="2"/>
  <c r="K33" i="2"/>
  <c r="K17" i="2"/>
  <c r="K48" i="2"/>
  <c r="K32" i="2"/>
  <c r="K16" i="2"/>
  <c r="K21" i="2"/>
  <c r="K36" i="2"/>
  <c r="K51" i="2"/>
  <c r="K47" i="2"/>
  <c r="K31" i="2"/>
  <c r="K15" i="2"/>
  <c r="K46" i="2"/>
  <c r="K30" i="2"/>
  <c r="K14" i="2"/>
  <c r="K45" i="2"/>
  <c r="K29" i="2"/>
  <c r="K13" i="2"/>
  <c r="K44" i="2"/>
  <c r="K28" i="2"/>
  <c r="K12" i="2"/>
  <c r="K43" i="2"/>
  <c r="K27" i="2"/>
  <c r="K11" i="2"/>
  <c r="K42" i="2"/>
  <c r="K26" i="2"/>
  <c r="K10" i="2"/>
  <c r="K41" i="2"/>
  <c r="K25" i="2"/>
  <c r="K9" i="2"/>
  <c r="K40" i="2"/>
  <c r="K24" i="2"/>
  <c r="K8" i="2"/>
  <c r="K39" i="2"/>
  <c r="K23" i="2"/>
  <c r="K7" i="2"/>
  <c r="K38" i="2"/>
  <c r="K22" i="2"/>
  <c r="K6" i="2"/>
  <c r="K50" i="2"/>
  <c r="K34" i="2"/>
  <c r="K18" i="2"/>
  <c r="K2" i="2"/>
  <c r="H18" i="4"/>
  <c r="K6" i="4"/>
  <c r="K15" i="4"/>
  <c r="K13" i="4"/>
  <c r="K12" i="4"/>
  <c r="K14" i="4"/>
  <c r="K11" i="4"/>
  <c r="K10" i="4"/>
  <c r="K9" i="4"/>
  <c r="K8" i="4"/>
  <c r="K7" i="4"/>
  <c r="L3" i="4"/>
  <c r="L4" i="4" s="1"/>
  <c r="L5" i="4" s="1"/>
  <c r="G4" i="3"/>
  <c r="J3" i="3"/>
  <c r="J4" i="3" s="1"/>
  <c r="L4" i="2" l="1"/>
  <c r="L5" i="2" s="1"/>
  <c r="L6" i="2" s="1"/>
  <c r="L7" i="2" s="1"/>
  <c r="L8" i="2" s="1"/>
  <c r="L9" i="2" s="1"/>
  <c r="L10" i="2" s="1"/>
  <c r="L11" i="2" s="1"/>
  <c r="L12" i="2" s="1"/>
  <c r="L13" i="2" s="1"/>
  <c r="L14" i="2" s="1"/>
  <c r="L15" i="2" s="1"/>
  <c r="L16" i="2" s="1"/>
  <c r="L17" i="2" s="1"/>
  <c r="L18" i="2" s="1"/>
  <c r="L19" i="2" s="1"/>
  <c r="L20" i="2" s="1"/>
  <c r="L21" i="2" s="1"/>
  <c r="L22" i="2" s="1"/>
  <c r="L23" i="2" s="1"/>
  <c r="L24" i="2" s="1"/>
  <c r="L25" i="2" s="1"/>
  <c r="L26" i="2" s="1"/>
  <c r="L27" i="2" s="1"/>
  <c r="L28" i="2" s="1"/>
  <c r="L29" i="2" s="1"/>
  <c r="L30" i="2" s="1"/>
  <c r="L31" i="2" s="1"/>
  <c r="L32" i="2" s="1"/>
  <c r="L33" i="2" s="1"/>
  <c r="L34" i="2" s="1"/>
  <c r="L35" i="2" s="1"/>
  <c r="L36" i="2" s="1"/>
  <c r="L37" i="2" s="1"/>
  <c r="L38" i="2" s="1"/>
  <c r="L39" i="2" s="1"/>
  <c r="L40" i="2" s="1"/>
  <c r="L41" i="2" s="1"/>
  <c r="L42" i="2" s="1"/>
  <c r="L43" i="2" s="1"/>
  <c r="L44" i="2" s="1"/>
  <c r="L45" i="2" s="1"/>
  <c r="L46" i="2" s="1"/>
  <c r="L47" i="2" s="1"/>
  <c r="L48" i="2" s="1"/>
  <c r="L49" i="2" s="1"/>
  <c r="L50" i="2" s="1"/>
  <c r="L51" i="2" s="1"/>
  <c r="L52" i="2" s="1"/>
  <c r="L53" i="2" s="1"/>
  <c r="L54" i="2" s="1"/>
  <c r="I59" i="2"/>
  <c r="L6" i="4"/>
  <c r="L7" i="4" s="1"/>
  <c r="L8" i="4" s="1"/>
  <c r="L9" i="4" s="1"/>
  <c r="L10" i="4" s="1"/>
  <c r="L11" i="4" s="1"/>
  <c r="L12" i="4" s="1"/>
  <c r="L13" i="4" s="1"/>
  <c r="L14" i="4" s="1"/>
  <c r="L15" i="4" s="1"/>
  <c r="L16" i="4" s="1"/>
  <c r="L17" i="4" s="1"/>
  <c r="L18" i="4" s="1"/>
</calcChain>
</file>

<file path=xl/sharedStrings.xml><?xml version="1.0" encoding="utf-8"?>
<sst xmlns="http://schemas.openxmlformats.org/spreadsheetml/2006/main" count="176" uniqueCount="77">
  <si>
    <t>三菱UFJ銀行公表の対顧客外国為替相場　月中平均TTSレート</t>
  </si>
  <si>
    <t>http://www.murc-kawasesouba.jp/fx/past_3month.php</t>
    <phoneticPr fontId="2"/>
  </si>
  <si>
    <t>月初日付</t>
  </si>
  <si>
    <t>中国人民元</t>
  </si>
  <si>
    <t>No</t>
  </si>
  <si>
    <t>日付</t>
    <rPh sb="0" eb="2">
      <t>ヒヅケ</t>
    </rPh>
    <phoneticPr fontId="2"/>
  </si>
  <si>
    <t>依頼内容</t>
    <rPh sb="0" eb="4">
      <t>イライナイヨウ</t>
    </rPh>
    <phoneticPr fontId="2"/>
  </si>
  <si>
    <t>商品名</t>
    <rPh sb="0" eb="3">
      <t>ショウヒンメイ</t>
    </rPh>
    <phoneticPr fontId="2"/>
  </si>
  <si>
    <t>単価（元）</t>
    <rPh sb="0" eb="2">
      <t>タンカ</t>
    </rPh>
    <rPh sb="3" eb="4">
      <t>ゲン</t>
    </rPh>
    <phoneticPr fontId="2"/>
  </si>
  <si>
    <t>数量</t>
    <rPh sb="0" eb="2">
      <t>スウリョウ</t>
    </rPh>
    <phoneticPr fontId="2"/>
  </si>
  <si>
    <t>出金額（元）</t>
    <rPh sb="0" eb="3">
      <t>シュッキンガク</t>
    </rPh>
    <rPh sb="4" eb="5">
      <t>ゲン</t>
    </rPh>
    <phoneticPr fontId="2"/>
  </si>
  <si>
    <t>残高（元）</t>
  </si>
  <si>
    <t>為替レート</t>
  </si>
  <si>
    <t>出金額（円）</t>
  </si>
  <si>
    <t>残高（円）</t>
  </si>
  <si>
    <t>PO</t>
  </si>
  <si>
    <t>入金</t>
  </si>
  <si>
    <t>PO-0004</t>
    <phoneticPr fontId="2"/>
  </si>
  <si>
    <t>サンプル発注</t>
  </si>
  <si>
    <t>発注書PO-0004食事用スタイ　工場1</t>
  </si>
  <si>
    <t>発注書PO-0004食事用スタイ　工場2</t>
  </si>
  <si>
    <t>発注書PO-0004食事用スタイ　工場3</t>
  </si>
  <si>
    <t>発注書PO-0004食事用スタイ　工場4</t>
  </si>
  <si>
    <t>発注書PO-0004食事用スタイ　工場6</t>
  </si>
  <si>
    <t>発注書PO-0004食事用スタイ　工場7</t>
  </si>
  <si>
    <t>発注書PO-0004食事用スタイ　工場8</t>
  </si>
  <si>
    <t>発注書PO-0004食事用スタイ　工場9</t>
  </si>
  <si>
    <t>発注書PO-0004食事用スタイ　工場10</t>
  </si>
  <si>
    <t>発注書PO-0004食事用スタイ　工場11</t>
  </si>
  <si>
    <t>発注書PO-0004食事用スタイ　工場12</t>
  </si>
  <si>
    <t>国際送料</t>
  </si>
  <si>
    <t>OCS　食事用スタイのサンプル　2023.8.14</t>
  </si>
  <si>
    <t>本発注</t>
  </si>
  <si>
    <t>発注書PO-0005洗濯タグ500個</t>
  </si>
  <si>
    <t>PO-0005</t>
    <phoneticPr fontId="2"/>
  </si>
  <si>
    <t>発生日</t>
  </si>
  <si>
    <t>費用項目</t>
  </si>
  <si>
    <t>備考</t>
  </si>
  <si>
    <t>出金額（元）</t>
  </si>
  <si>
    <t>出金</t>
  </si>
  <si>
    <t>為替調整</t>
  </si>
  <si>
    <t>サンプル代</t>
  </si>
  <si>
    <t>OCS送料20KG 1箱</t>
  </si>
  <si>
    <t>OCS送料11KG 1箱</t>
  </si>
  <si>
    <t>欠品 返金 入金13.64元</t>
  </si>
  <si>
    <t>返品送料</t>
  </si>
  <si>
    <t>交换品送料 出金6元</t>
  </si>
  <si>
    <t>OCS送料56KG 3箱</t>
  </si>
  <si>
    <t>商品代金</t>
  </si>
  <si>
    <t>PO-0001</t>
  </si>
  <si>
    <t>検品作業等</t>
  </si>
  <si>
    <t>OCS送料 12KG 1箱</t>
  </si>
  <si>
    <t>PO-0002</t>
  </si>
  <si>
    <t>OCS送料 13KG 1箱</t>
  </si>
  <si>
    <t>資材</t>
  </si>
  <si>
    <t>OPP袋80枚</t>
  </si>
  <si>
    <t>発送作業</t>
  </si>
  <si>
    <t>PO-0003</t>
  </si>
  <si>
    <t>返品費用</t>
  </si>
  <si>
    <t>不良品返品送料</t>
  </si>
  <si>
    <t>快速船便208kg、8箱</t>
  </si>
  <si>
    <t>不良品返金</t>
  </si>
  <si>
    <t>検品、発送作業代行18時間</t>
  </si>
  <si>
    <t>OPP袋30枚</t>
  </si>
  <si>
    <t>為替評価損益</t>
  </si>
  <si>
    <t>発注書PO-0006　食事用スタイ　工場1サンプル発注</t>
  </si>
  <si>
    <t>国内送料</t>
  </si>
  <si>
    <t>発注書PO-0006　洗濯タグを工場に発送する国内送料</t>
  </si>
  <si>
    <t>発注書PO-0007洗濯タグ500個（pu）</t>
  </si>
  <si>
    <t>備考</t>
    <rPh sb="0" eb="2">
      <t>ビコウ</t>
    </rPh>
    <phoneticPr fontId="2"/>
  </si>
  <si>
    <t>梱包重さ：1.5kg
テープ代：1*5元=5元
77+2*17+5＝116元</t>
    <phoneticPr fontId="2"/>
  </si>
  <si>
    <t>出金額（円）2</t>
  </si>
  <si>
    <t>残高（円）2</t>
  </si>
  <si>
    <t>入金</t>
    <phoneticPr fontId="2"/>
  </si>
  <si>
    <t>サンプル発注</t>
    <phoneticPr fontId="2"/>
  </si>
  <si>
    <t>2023.1.1開業費</t>
    <rPh sb="8" eb="11">
      <t>カイギョウヒ</t>
    </rPh>
    <phoneticPr fontId="2"/>
  </si>
  <si>
    <t>残高（円）3</t>
    <phoneticPr fontId="2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</si>
</sst>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游ゴシック"/>
      <family val="2"/>
      <charset val="128"/>
      <scheme val="minor"/>
    </font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u/>
      <sz val="11"/>
      <color theme="10"/>
      <name val="游ゴシック"/>
      <family val="2"/>
      <charset val="128"/>
      <scheme val="minor"/>
    </font>
    <font>
      <b/>
      <sz val="11"/>
      <color theme="0"/>
      <name val="游ゴシック"/>
      <family val="2"/>
      <charset val="128"/>
      <scheme val="minor"/>
    </font>
    <font>
      <b/>
      <sz val="11"/>
      <color rgb="FF0070C0"/>
      <name val="游ゴシック"/>
      <family val="3"/>
      <charset val="128"/>
      <scheme val="minor"/>
    </font>
  </fonts>
  <fills count="7">
    <fill>
      <patternFill patternType="none"/>
    </fill>
    <fill>
      <patternFill patternType="gray125"/>
    </fill>
    <fill>
      <patternFill patternType="solid">
        <fgColor theme="5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/>
        <bgColor theme="4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/>
      <right style="thin">
        <color theme="4" tint="0.39997558519241921"/>
      </right>
      <top style="thin">
        <color theme="4" tint="0.39997558519241921"/>
      </top>
      <bottom style="thin">
        <color theme="4" tint="0.39997558519241921"/>
      </bottom>
      <diagonal/>
    </border>
  </borders>
  <cellStyleXfs count="3">
    <xf numFmtId="0" fontId="0" fillId="0" borderId="0">
      <alignment vertical="center"/>
    </xf>
    <xf numFmtId="38" fontId="1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</cellStyleXfs>
  <cellXfs count="15">
    <xf numFmtId="0" fontId="0" fillId="0" borderId="0" xfId="0">
      <alignment vertical="center"/>
    </xf>
    <xf numFmtId="14" fontId="0" fillId="0" borderId="0" xfId="0" applyNumberFormat="1">
      <alignment vertical="center"/>
    </xf>
    <xf numFmtId="0" fontId="3" fillId="0" borderId="0" xfId="2">
      <alignment vertical="center"/>
    </xf>
    <xf numFmtId="3" fontId="0" fillId="0" borderId="0" xfId="0" applyNumberFormat="1">
      <alignment vertical="center"/>
    </xf>
    <xf numFmtId="38" fontId="0" fillId="0" borderId="0" xfId="1" applyFont="1">
      <alignment vertical="center"/>
    </xf>
    <xf numFmtId="40" fontId="0" fillId="0" borderId="0" xfId="1" applyNumberFormat="1" applyFont="1">
      <alignment vertical="center"/>
    </xf>
    <xf numFmtId="4" fontId="0" fillId="0" borderId="0" xfId="0" applyNumberFormat="1">
      <alignment vertical="center"/>
    </xf>
    <xf numFmtId="0" fontId="0" fillId="2" borderId="0" xfId="0" applyFill="1" applyAlignment="1">
      <alignment vertical="center" wrapText="1"/>
    </xf>
    <xf numFmtId="0" fontId="0" fillId="0" borderId="0" xfId="0" applyAlignment="1">
      <alignment vertical="center" wrapText="1"/>
    </xf>
    <xf numFmtId="0" fontId="0" fillId="3" borderId="0" xfId="0" applyFill="1" applyAlignment="1">
      <alignment vertical="center" wrapText="1"/>
    </xf>
    <xf numFmtId="3" fontId="0" fillId="0" borderId="0" xfId="0" applyNumberFormat="1" applyAlignment="1">
      <alignment vertical="center" wrapText="1"/>
    </xf>
    <xf numFmtId="0" fontId="4" fillId="4" borderId="1" xfId="0" applyFont="1" applyFill="1" applyBorder="1">
      <alignment vertical="center"/>
    </xf>
    <xf numFmtId="1" fontId="5" fillId="5" borderId="2" xfId="0" applyNumberFormat="1" applyFont="1" applyFill="1" applyBorder="1">
      <alignment vertical="center"/>
    </xf>
    <xf numFmtId="1" fontId="0" fillId="0" borderId="0" xfId="0" applyNumberFormat="1">
      <alignment vertical="center"/>
    </xf>
    <xf numFmtId="4" fontId="0" fillId="6" borderId="0" xfId="0" applyNumberFormat="1" applyFill="1">
      <alignment vertical="center"/>
    </xf>
  </cellXfs>
  <cellStyles count="3">
    <cellStyle name="ハイパーリンク" xfId="2" builtinId="8"/>
    <cellStyle name="桁区切り" xfId="1" builtinId="6"/>
    <cellStyle name="標準" xfId="0" builtinId="0"/>
  </cellStyles>
  <dxfs count="18">
    <dxf>
      <numFmt numFmtId="0" formatCode="General"/>
    </dxf>
    <dxf>
      <numFmt numFmtId="1" formatCode="0"/>
    </dxf>
    <dxf>
      <numFmt numFmtId="1" formatCode="0"/>
    </dxf>
    <dxf>
      <numFmt numFmtId="3" formatCode="#,##0"/>
    </dxf>
    <dxf>
      <numFmt numFmtId="4" formatCode="#,##0.00"/>
    </dxf>
    <dxf>
      <numFmt numFmtId="3" formatCode="#,##0"/>
    </dxf>
    <dxf>
      <numFmt numFmtId="19" formatCode="yyyy/m/d"/>
    </dxf>
    <dxf>
      <numFmt numFmtId="8" formatCode="#,##0.00;[Red]\-#,##0.00"/>
    </dxf>
    <dxf>
      <numFmt numFmtId="19" formatCode="yyyy/m/d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19" formatCode="yyyy/m/d"/>
    </dxf>
    <dxf>
      <alignment horizontal="general" vertical="center" textRotation="0" wrapText="1" indent="0" justifyLastLine="0" shrinkToFit="0" readingOrder="0"/>
    </dxf>
    <dxf>
      <numFmt numFmtId="19" formatCode="yyyy/m/d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E18A181-AF5E-4F3B-A5E1-775BB2F8DA83}" name="為替レート表" displayName="為替レート表" ref="A4:B25" totalsRowShown="0">
  <autoFilter ref="A4:B25" xr:uid="{4B05D9C6-C629-489C-AD47-6A3F73B40C29}"/>
  <tableColumns count="2">
    <tableColumn id="1" xr3:uid="{DA9952F1-2AF8-4763-A1BA-3FD466042A0D}" name="月初日付" dataDxfId="17"/>
    <tableColumn id="2" xr3:uid="{DF9EEE22-F8DB-419E-BE29-FAAF6BBEC3C3}" name="中国人民元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D0FE60BE-046D-4265-B66E-1ABFE1A7A75C}" name="ESPRIM_預け金管理表" displayName="ESPRIM_預け金管理表" ref="A1:M18" totalsRowShown="0" headerRowDxfId="16">
  <autoFilter ref="A1:M18" xr:uid="{D0FE60BE-046D-4265-B66E-1ABFE1A7A75C}"/>
  <tableColumns count="13">
    <tableColumn id="1" xr3:uid="{C3B2F497-4DF1-4310-9104-79B98EFC6840}" name="No"/>
    <tableColumn id="2" xr3:uid="{EED45925-4005-4638-9BF5-2A31F718C659}" name="日付" dataDxfId="15"/>
    <tableColumn id="3" xr3:uid="{50CAB0C9-A2E2-4BB3-8BB1-6BDD69981AC1}" name="依頼内容"/>
    <tableColumn id="4" xr3:uid="{607CA1CA-4170-4F81-9615-0DF07DCD29FB}" name="商品名"/>
    <tableColumn id="12" xr3:uid="{FA2DA550-32DF-4ACF-BE1F-E3767D9D413E}" name="単価（元）"/>
    <tableColumn id="11" xr3:uid="{3FC570C3-A307-46CB-95BB-277E6318ECDD}" name="数量"/>
    <tableColumn id="6" xr3:uid="{461AFAF3-8A31-412D-8161-FB83FB4D2C9C}" name="出金額（元）" dataDxfId="14">
      <calculatedColumnFormula>-600000/20.63</calculatedColumnFormula>
    </tableColumn>
    <tableColumn id="7" xr3:uid="{8431D7C7-D6BD-4036-8FC0-1F81E6EA3AA6}" name="残高（元）" dataDxfId="13">
      <calculatedColumnFormula>IFERROR(H1-ESPRIM_預け金管理表[[#This Row],[出金額（元）]],-ESPRIM_預け金管理表[[#This Row],[出金額（元）]])</calculatedColumnFormula>
    </tableColumn>
    <tableColumn id="14" xr3:uid="{663717CE-AD01-482F-8461-80E72D601763}" name="備考" dataDxfId="12"/>
    <tableColumn id="8" xr3:uid="{D8B32B84-3931-47F3-84D7-75B498AD2F23}" name="為替レート">
      <calculatedColumnFormula>_xlfn.XLOOKUP(EOMONTH(ESPRIM_預け金管理表[[#This Row],[日付]],-1)+1,為替レート表[月初日付],為替レート表[中国人民元],0)</calculatedColumnFormula>
    </tableColumn>
    <tableColumn id="9" xr3:uid="{377FBF75-86D9-499B-8C13-E24857867DB9}" name="出金額（円）" dataDxfId="11">
      <calculatedColumnFormula>ESPRIM_預け金管理表[[#This Row],[出金額（元）]]*ESPRIM_預け金管理表[[#This Row],[為替レート]]</calculatedColumnFormula>
    </tableColumn>
    <tableColumn id="10" xr3:uid="{83F5DD04-9CE2-4367-BB71-6E4CC410833C}" name="残高（円）" dataDxfId="10">
      <calculatedColumnFormula>IFERROR(L1-ESPRIM_預け金管理表[[#This Row],[出金額（円）]],-ESPRIM_預け金管理表[[#This Row],[出金額（円）]])</calculatedColumnFormula>
    </tableColumn>
    <tableColumn id="5" xr3:uid="{CF024C93-B612-4A80-A76A-7DA535C305D2}" name="PO" dataDxfId="9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500DBFF5-5265-4631-947E-716319003A21}" name="直行便_預け金管理表" displayName="直行便_預け金管理表" ref="A1:J4" totalsRowShown="0">
  <autoFilter ref="A1:J4" xr:uid="{500DBFF5-5265-4631-947E-716319003A21}"/>
  <tableColumns count="10">
    <tableColumn id="1" xr3:uid="{264F309C-46A4-4347-8961-AC3288702C26}" name="No"/>
    <tableColumn id="2" xr3:uid="{54D25A85-E4A2-4B2B-BB60-90854362F8EB}" name="発生日" dataDxfId="8"/>
    <tableColumn id="3" xr3:uid="{868C6A2B-5320-4FA6-AF3D-D0AA646766F7}" name="費用項目"/>
    <tableColumn id="4" xr3:uid="{32FEA704-E1B0-4AFA-9838-8F2A442F07A8}" name="備考"/>
    <tableColumn id="5" xr3:uid="{AAB13BA6-855B-46B5-A477-C2F8AEEB5EAF}" name="PO"/>
    <tableColumn id="6" xr3:uid="{104730FB-C42E-4C57-B79E-DA14E5AFB01D}" name="出金額（元）" dataCellStyle="桁区切り"/>
    <tableColumn id="7" xr3:uid="{2AAE9D59-7CA5-4D83-AE79-CF135B1D77E0}" name="残高（元）" dataCellStyle="桁区切り">
      <calculatedColumnFormula>IFERROR(G1-直行便_預け金管理表[[#This Row],[出金額（元）]],-直行便_預け金管理表[[#This Row],[出金額（元）]])</calculatedColumnFormula>
    </tableColumn>
    <tableColumn id="8" xr3:uid="{C6DD36BE-C3D5-458C-8AF3-F5D9392E1CA4}" name="為替レート" dataDxfId="7" dataCellStyle="桁区切り">
      <calculatedColumnFormula>_xlfn.XLOOKUP(EOMONTH(直行便_預け金管理表[[#This Row],[発生日]],-1)+1,為替レート表[月初日付],為替レート表[中国人民元],0)</calculatedColumnFormula>
    </tableColumn>
    <tableColumn id="9" xr3:uid="{05F494E2-8236-4E52-BFAF-084576A37584}" name="出金額（円）" dataCellStyle="桁区切り">
      <calculatedColumnFormula>直行便_預け金管理表[[#This Row],[出金額（元）]]*直行便_預け金管理表[[#This Row],[為替レート]]</calculatedColumnFormula>
    </tableColumn>
    <tableColumn id="10" xr3:uid="{13E5B064-3B7B-435C-904D-C40F3500630C}" name="残高（円）" dataCellStyle="桁区切り">
      <calculatedColumnFormula>IFERROR(J1-直行便_預け金管理表[[#This Row],[出金額（円）]],-直行便_預け金管理表[[#This Row],[出金額（円）]])</calculatedColumnFormula>
    </tableColumn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5CC265C0-D849-464D-85B1-DA0117B4EBA0}" name="YP_預け金管理表" displayName="YP_預け金管理表" ref="A1:M54" totalsRowShown="0">
  <autoFilter ref="A1:M54" xr:uid="{5CC265C0-D849-464D-85B1-DA0117B4EBA0}"/>
  <tableColumns count="13">
    <tableColumn id="1" xr3:uid="{6FD2A330-D5C9-4FDA-B540-E8417CD529D6}" name="No"/>
    <tableColumn id="2" xr3:uid="{66744516-4D00-479A-96DD-0884EC9960E1}" name="発生日" dataDxfId="6"/>
    <tableColumn id="3" xr3:uid="{8303CB3C-CFB3-468B-A761-0A12AA57EADE}" name="費用項目"/>
    <tableColumn id="4" xr3:uid="{89CE4B94-92BD-4E55-8B9C-9B7060CAB3E4}" name="備考"/>
    <tableColumn id="5" xr3:uid="{00AA4F63-F031-4FFD-96B7-DD624CF65545}" name="PO"/>
    <tableColumn id="6" xr3:uid="{781ADFBA-E38E-4AF5-84A8-3C4843B3F826}" name="出金額（元）" dataCellStyle="桁区切り"/>
    <tableColumn id="7" xr3:uid="{A30CF873-AD42-4AEC-B83F-8735CB24BC33}" name="残高（元）" dataDxfId="5">
      <calculatedColumnFormula>IFERROR(G1-YP_預け金管理表[[#This Row],[出金額（元）]],-YP_預け金管理表[[#This Row],[出金額（元）]])</calculatedColumnFormula>
    </tableColumn>
    <tableColumn id="8" xr3:uid="{4CCF6145-E4B7-4D3B-9938-4D0019A2220C}" name="為替レート">
      <calculatedColumnFormula>_xlfn.XLOOKUP(EOMONTH(YP_預け金管理表[[#This Row],[発生日]],-1)+1,為替レート表[月初日付],為替レート表[中国人民元],0)</calculatedColumnFormula>
    </tableColumn>
    <tableColumn id="9" xr3:uid="{391BFE9C-BA83-49CA-B692-B2611C6ED82F}" name="出金額（円）" dataDxfId="4">
      <calculatedColumnFormula>YP_預け金管理表[[#This Row],[出金額（元）]]*YP_預け金管理表[[#This Row],[為替レート]]</calculatedColumnFormula>
    </tableColumn>
    <tableColumn id="10" xr3:uid="{B06973BB-0978-4BE5-BBFD-ED41C23D2D92}" name="残高（円）" dataDxfId="3"/>
    <tableColumn id="11" xr3:uid="{3C42D4C6-7567-4317-AB73-C5A40176DBFD}" name="出金額（円）2" dataDxfId="2">
      <calculatedColumnFormula>ROUND(YP_預け金管理表[[#This Row],[出金額（元）]]*YP_預け金管理表[[#This Row],[為替レート]],0)</calculatedColumnFormula>
    </tableColumn>
    <tableColumn id="12" xr3:uid="{53A0570E-9A1E-488B-BA23-42816B7AE371}" name="残高（円）2" dataDxfId="1">
      <calculatedColumnFormula>L1-YP_預け金管理表[[#This Row],[出金額（円）2]]</calculatedColumnFormula>
    </tableColumn>
    <tableColumn id="13" xr3:uid="{CC06589A-FCFD-4B36-8C20-5C82D3923209}" name="残高（円）3" dataDxfId="0">
      <calculatedColumnFormula>ROUND(YP_預け金管理表[[#This Row],[出金額（元）]]*YP_預け金管理表[[#This Row],[為替レート]],0)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2013 - 2022 テーマ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murc-kawasesouba.jp/fx/past_3month.php" TargetMode="Externa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table" Target="../tables/table4.xml"/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BF2145-58DC-4B9C-B668-93A5F3999B96}">
  <sheetPr codeName="Sheet7"/>
  <dimension ref="A1:B25"/>
  <sheetViews>
    <sheetView workbookViewId="0">
      <selection activeCell="B26" sqref="B26"/>
    </sheetView>
  </sheetViews>
  <sheetFormatPr defaultRowHeight="18" x14ac:dyDescent="0.55000000000000004"/>
  <cols>
    <col min="1" max="1" width="11.25" customWidth="1"/>
    <col min="2" max="2" width="11.75" customWidth="1"/>
  </cols>
  <sheetData>
    <row r="1" spans="1:2" x14ac:dyDescent="0.55000000000000004">
      <c r="A1" t="s">
        <v>0</v>
      </c>
    </row>
    <row r="2" spans="1:2" x14ac:dyDescent="0.55000000000000004">
      <c r="A2" s="2" t="s">
        <v>1</v>
      </c>
    </row>
    <row r="4" spans="1:2" x14ac:dyDescent="0.55000000000000004">
      <c r="A4" t="s">
        <v>2</v>
      </c>
      <c r="B4" t="s">
        <v>3</v>
      </c>
    </row>
    <row r="5" spans="1:2" x14ac:dyDescent="0.55000000000000004">
      <c r="A5" s="1">
        <v>44562</v>
      </c>
      <c r="B5">
        <v>18.36</v>
      </c>
    </row>
    <row r="6" spans="1:2" x14ac:dyDescent="0.55000000000000004">
      <c r="A6" s="1">
        <v>44593</v>
      </c>
      <c r="B6">
        <v>18.46</v>
      </c>
    </row>
    <row r="7" spans="1:2" x14ac:dyDescent="0.55000000000000004">
      <c r="A7" s="1">
        <v>44621</v>
      </c>
      <c r="B7">
        <v>18.96</v>
      </c>
    </row>
    <row r="8" spans="1:2" x14ac:dyDescent="0.55000000000000004">
      <c r="A8" s="1">
        <v>44652</v>
      </c>
      <c r="B8">
        <v>19.91</v>
      </c>
    </row>
    <row r="9" spans="1:2" x14ac:dyDescent="0.55000000000000004">
      <c r="A9" s="1">
        <v>44682</v>
      </c>
      <c r="B9">
        <v>19.43</v>
      </c>
    </row>
    <row r="10" spans="1:2" x14ac:dyDescent="0.55000000000000004">
      <c r="A10" s="1">
        <v>44713</v>
      </c>
      <c r="B10">
        <v>20.29</v>
      </c>
    </row>
    <row r="11" spans="1:2" x14ac:dyDescent="0.55000000000000004">
      <c r="A11" s="1">
        <v>44743</v>
      </c>
      <c r="B11">
        <v>20.61</v>
      </c>
    </row>
    <row r="12" spans="1:2" x14ac:dyDescent="0.55000000000000004">
      <c r="A12" s="1">
        <v>44774</v>
      </c>
      <c r="B12">
        <v>20.16</v>
      </c>
    </row>
    <row r="13" spans="1:2" x14ac:dyDescent="0.55000000000000004">
      <c r="A13" s="1">
        <v>44805</v>
      </c>
      <c r="B13">
        <v>20.7</v>
      </c>
    </row>
    <row r="14" spans="1:2" x14ac:dyDescent="0.55000000000000004">
      <c r="A14" s="1">
        <v>44835</v>
      </c>
      <c r="B14">
        <v>20.76</v>
      </c>
    </row>
    <row r="15" spans="1:2" x14ac:dyDescent="0.55000000000000004">
      <c r="A15" s="1">
        <v>44866</v>
      </c>
      <c r="B15">
        <v>20.11</v>
      </c>
    </row>
    <row r="16" spans="1:2" x14ac:dyDescent="0.55000000000000004">
      <c r="A16" s="1">
        <v>44896</v>
      </c>
      <c r="B16">
        <v>19.64</v>
      </c>
    </row>
    <row r="17" spans="1:2" x14ac:dyDescent="0.55000000000000004">
      <c r="A17" s="1">
        <v>44927</v>
      </c>
      <c r="B17">
        <v>19.52</v>
      </c>
    </row>
    <row r="18" spans="1:2" x14ac:dyDescent="0.55000000000000004">
      <c r="A18" s="1">
        <v>44958</v>
      </c>
      <c r="B18">
        <v>19.71</v>
      </c>
    </row>
    <row r="19" spans="1:2" x14ac:dyDescent="0.55000000000000004">
      <c r="A19" s="1">
        <v>44986</v>
      </c>
      <c r="B19">
        <v>19.7</v>
      </c>
    </row>
    <row r="20" spans="1:2" x14ac:dyDescent="0.55000000000000004">
      <c r="A20" s="1">
        <v>45017</v>
      </c>
      <c r="B20">
        <v>19.66</v>
      </c>
    </row>
    <row r="21" spans="1:2" x14ac:dyDescent="0.55000000000000004">
      <c r="A21" s="1">
        <v>45047</v>
      </c>
      <c r="B21">
        <v>19.920000000000002</v>
      </c>
    </row>
    <row r="22" spans="1:2" x14ac:dyDescent="0.55000000000000004">
      <c r="A22" s="1">
        <v>45078</v>
      </c>
      <c r="B22">
        <v>20</v>
      </c>
    </row>
    <row r="23" spans="1:2" x14ac:dyDescent="0.55000000000000004">
      <c r="A23" s="1">
        <v>45108</v>
      </c>
      <c r="B23">
        <v>19.920000000000002</v>
      </c>
    </row>
    <row r="24" spans="1:2" x14ac:dyDescent="0.55000000000000004">
      <c r="A24" s="1">
        <v>45139</v>
      </c>
      <c r="B24">
        <v>20.260000000000002</v>
      </c>
    </row>
    <row r="25" spans="1:2" x14ac:dyDescent="0.55000000000000004">
      <c r="A25" s="1">
        <v>45170</v>
      </c>
      <c r="B25">
        <v>20.53</v>
      </c>
    </row>
  </sheetData>
  <phoneticPr fontId="2"/>
  <hyperlinks>
    <hyperlink ref="A2" r:id="rId1" xr:uid="{553A2C0A-1ED7-47A0-8C36-2E8110A77237}"/>
  </hyperlinks>
  <pageMargins left="0.7" right="0.7" top="0.75" bottom="0.75" header="0.3" footer="0.3"/>
  <pageSetup paperSize="9" orientation="portrait" horizontalDpi="4294967293" verticalDpi="0" r:id="rId2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AECC86-C52D-40A6-AF25-DD5AA9FB7820}">
  <sheetPr>
    <pageSetUpPr fitToPage="1"/>
  </sheetPr>
  <dimension ref="A1:M18"/>
  <sheetViews>
    <sheetView zoomScale="85" zoomScaleNormal="85" workbookViewId="0">
      <selection activeCell="C18" sqref="C18"/>
    </sheetView>
  </sheetViews>
  <sheetFormatPr defaultRowHeight="18" x14ac:dyDescent="0.55000000000000004"/>
  <cols>
    <col min="2" max="2" width="13.83203125" customWidth="1"/>
    <col min="3" max="3" width="16.08203125" customWidth="1"/>
    <col min="4" max="4" width="39.75" customWidth="1"/>
    <col min="6" max="6" width="7.75" customWidth="1"/>
    <col min="7" max="7" width="13.5" customWidth="1"/>
    <col min="8" max="8" width="15.33203125" customWidth="1"/>
    <col min="9" max="9" width="20.75" customWidth="1"/>
    <col min="10" max="10" width="11.75" customWidth="1"/>
    <col min="11" max="11" width="14" customWidth="1"/>
    <col min="12" max="12" width="13.58203125" customWidth="1"/>
    <col min="13" max="13" width="11.75" customWidth="1"/>
  </cols>
  <sheetData>
    <row r="1" spans="1:13" s="8" customFormat="1" ht="29.15" customHeight="1" x14ac:dyDescent="0.55000000000000004">
      <c r="A1" s="7" t="s">
        <v>4</v>
      </c>
      <c r="B1" s="7" t="s">
        <v>5</v>
      </c>
      <c r="C1" s="7" t="s">
        <v>6</v>
      </c>
      <c r="D1" s="7" t="s">
        <v>7</v>
      </c>
      <c r="E1" s="7" t="s">
        <v>8</v>
      </c>
      <c r="F1" s="7" t="s">
        <v>9</v>
      </c>
      <c r="G1" s="7" t="s">
        <v>10</v>
      </c>
      <c r="H1" s="7" t="s">
        <v>11</v>
      </c>
      <c r="I1" s="7" t="s">
        <v>69</v>
      </c>
      <c r="J1" s="8" t="s">
        <v>12</v>
      </c>
      <c r="K1" s="8" t="s">
        <v>13</v>
      </c>
      <c r="L1" s="8" t="s">
        <v>14</v>
      </c>
      <c r="M1" s="9" t="s">
        <v>15</v>
      </c>
    </row>
    <row r="2" spans="1:13" x14ac:dyDescent="0.55000000000000004">
      <c r="A2">
        <v>1</v>
      </c>
      <c r="B2" s="1">
        <v>45126</v>
      </c>
      <c r="C2" t="s">
        <v>73</v>
      </c>
      <c r="G2" s="3">
        <v>-29083.858458555504</v>
      </c>
      <c r="H2" s="3">
        <f>IFERROR(H1-ESPRIM_預け金管理表[[#This Row],[出金額（元）]],-ESPRIM_預け金管理表[[#This Row],[出金額（元）]])</f>
        <v>29083.858458555504</v>
      </c>
      <c r="I2" s="3"/>
      <c r="J2">
        <v>20.63</v>
      </c>
      <c r="K2" s="3">
        <f>ESPRIM_預け金管理表[[#This Row],[出金額（元）]]*ESPRIM_預け金管理表[[#This Row],[為替レート]]</f>
        <v>-600000</v>
      </c>
      <c r="L2" s="3">
        <f>IFERROR(L1-ESPRIM_預け金管理表[[#This Row],[出金額（円）]],-ESPRIM_預け金管理表[[#This Row],[出金額（円）]])</f>
        <v>600000</v>
      </c>
      <c r="M2" t="s">
        <v>17</v>
      </c>
    </row>
    <row r="3" spans="1:13" x14ac:dyDescent="0.55000000000000004">
      <c r="A3">
        <v>2</v>
      </c>
      <c r="B3" s="1">
        <v>45140</v>
      </c>
      <c r="C3" t="s">
        <v>74</v>
      </c>
      <c r="D3" t="s">
        <v>19</v>
      </c>
      <c r="E3">
        <v>16.399999999999999</v>
      </c>
      <c r="F3">
        <v>1</v>
      </c>
      <c r="G3" s="6">
        <v>16.399999999999999</v>
      </c>
      <c r="H3" s="3">
        <f>IFERROR(H2-ESPRIM_預け金管理表[[#This Row],[出金額（元）]],-ESPRIM_預け金管理表[[#This Row],[出金額（元）]])</f>
        <v>29067.458458555502</v>
      </c>
      <c r="I3" s="3"/>
      <c r="J3">
        <v>20.63</v>
      </c>
      <c r="K3" s="3">
        <f>ESPRIM_預け金管理表[[#This Row],[出金額（元）]]*ESPRIM_預け金管理表[[#This Row],[為替レート]]</f>
        <v>338.33199999999994</v>
      </c>
      <c r="L3" s="3">
        <f>IFERROR(L2-ESPRIM_預け金管理表[[#This Row],[出金額（円）]],-ESPRIM_預け金管理表[[#This Row],[出金額（円）]])</f>
        <v>599661.66799999995</v>
      </c>
      <c r="M3" t="s">
        <v>17</v>
      </c>
    </row>
    <row r="4" spans="1:13" x14ac:dyDescent="0.55000000000000004">
      <c r="A4">
        <v>3</v>
      </c>
      <c r="B4" s="1">
        <v>45140</v>
      </c>
      <c r="C4" t="s">
        <v>74</v>
      </c>
      <c r="D4" t="s">
        <v>20</v>
      </c>
      <c r="E4">
        <v>15.8</v>
      </c>
      <c r="F4">
        <v>1</v>
      </c>
      <c r="G4" s="6">
        <v>15.8</v>
      </c>
      <c r="H4" s="3">
        <f>IFERROR(H3-ESPRIM_預け金管理表[[#This Row],[出金額（元）]],-ESPRIM_預け金管理表[[#This Row],[出金額（元）]])</f>
        <v>29051.658458555503</v>
      </c>
      <c r="I4" s="3"/>
      <c r="J4">
        <v>20.63</v>
      </c>
      <c r="K4" s="3">
        <f>ESPRIM_預け金管理表[[#This Row],[出金額（元）]]*ESPRIM_預け金管理表[[#This Row],[為替レート]]</f>
        <v>325.95400000000001</v>
      </c>
      <c r="L4" s="3">
        <f>IFERROR(L3-ESPRIM_預け金管理表[[#This Row],[出金額（円）]],-ESPRIM_預け金管理表[[#This Row],[出金額（円）]])</f>
        <v>599335.71399999992</v>
      </c>
      <c r="M4" t="s">
        <v>17</v>
      </c>
    </row>
    <row r="5" spans="1:13" x14ac:dyDescent="0.55000000000000004">
      <c r="A5">
        <v>4</v>
      </c>
      <c r="B5" s="1">
        <v>45140</v>
      </c>
      <c r="C5" t="s">
        <v>18</v>
      </c>
      <c r="D5" t="s">
        <v>21</v>
      </c>
      <c r="E5">
        <v>15.08</v>
      </c>
      <c r="F5">
        <v>1</v>
      </c>
      <c r="G5" s="6">
        <v>15.08</v>
      </c>
      <c r="H5" s="3">
        <f>IFERROR(H4-ESPRIM_預け金管理表[[#This Row],[出金額（元）]],-ESPRIM_預け金管理表[[#This Row],[出金額（元）]])</f>
        <v>29036.578458555501</v>
      </c>
      <c r="I5" s="3"/>
      <c r="J5">
        <v>20.63</v>
      </c>
      <c r="K5" s="3">
        <f>ESPRIM_預け金管理表[[#This Row],[出金額（元）]]*ESPRIM_預け金管理表[[#This Row],[為替レート]]</f>
        <v>311.10039999999998</v>
      </c>
      <c r="L5" s="3">
        <f>IFERROR(L4-ESPRIM_預け金管理表[[#This Row],[出金額（円）]],-ESPRIM_預け金管理表[[#This Row],[出金額（円）]])</f>
        <v>599024.61359999992</v>
      </c>
      <c r="M5" t="s">
        <v>17</v>
      </c>
    </row>
    <row r="6" spans="1:13" x14ac:dyDescent="0.55000000000000004">
      <c r="A6">
        <v>5</v>
      </c>
      <c r="B6" s="1">
        <v>45145</v>
      </c>
      <c r="C6" t="s">
        <v>18</v>
      </c>
      <c r="D6" t="s">
        <v>22</v>
      </c>
      <c r="E6">
        <v>17</v>
      </c>
      <c r="F6">
        <v>1</v>
      </c>
      <c r="G6" s="6">
        <v>17</v>
      </c>
      <c r="H6" s="3">
        <f>IFERROR(H5-ESPRIM_預け金管理表[[#This Row],[出金額（元）]],-ESPRIM_預け金管理表[[#This Row],[出金額（元）]])</f>
        <v>29019.578458555501</v>
      </c>
      <c r="I6" s="3"/>
      <c r="J6">
        <v>20.63</v>
      </c>
      <c r="K6" s="3">
        <f>ESPRIM_預け金管理表[[#This Row],[出金額（元）]]*ESPRIM_預け金管理表[[#This Row],[為替レート]]</f>
        <v>350.71</v>
      </c>
      <c r="L6" s="3">
        <f>IFERROR(L5-ESPRIM_預け金管理表[[#This Row],[出金額（円）]],-ESPRIM_預け金管理表[[#This Row],[出金額（円）]])</f>
        <v>598673.90359999996</v>
      </c>
      <c r="M6" t="s">
        <v>17</v>
      </c>
    </row>
    <row r="7" spans="1:13" x14ac:dyDescent="0.55000000000000004">
      <c r="A7">
        <v>6</v>
      </c>
      <c r="B7" s="1">
        <v>45140</v>
      </c>
      <c r="C7" t="s">
        <v>18</v>
      </c>
      <c r="D7" t="s">
        <v>23</v>
      </c>
      <c r="E7">
        <v>16.2</v>
      </c>
      <c r="F7">
        <v>1</v>
      </c>
      <c r="G7" s="6">
        <v>16.2</v>
      </c>
      <c r="H7" s="3">
        <f>IFERROR(H6-ESPRIM_預け金管理表[[#This Row],[出金額（元）]],-ESPRIM_預け金管理表[[#This Row],[出金額（元）]])</f>
        <v>29003.3784585555</v>
      </c>
      <c r="I7" s="3"/>
      <c r="J7">
        <v>20.63</v>
      </c>
      <c r="K7" s="3">
        <f>ESPRIM_預け金管理表[[#This Row],[出金額（元）]]*ESPRIM_預け金管理表[[#This Row],[為替レート]]</f>
        <v>334.20599999999996</v>
      </c>
      <c r="L7" s="3">
        <f>IFERROR(L6-ESPRIM_預け金管理表[[#This Row],[出金額（円）]],-ESPRIM_預け金管理表[[#This Row],[出金額（円）]])</f>
        <v>598339.69759999996</v>
      </c>
      <c r="M7" t="s">
        <v>17</v>
      </c>
    </row>
    <row r="8" spans="1:13" x14ac:dyDescent="0.55000000000000004">
      <c r="A8">
        <v>7</v>
      </c>
      <c r="B8" s="1">
        <v>45140</v>
      </c>
      <c r="C8" t="s">
        <v>18</v>
      </c>
      <c r="D8" t="s">
        <v>24</v>
      </c>
      <c r="E8">
        <v>13.8</v>
      </c>
      <c r="F8">
        <v>1</v>
      </c>
      <c r="G8" s="6">
        <v>13.8</v>
      </c>
      <c r="H8" s="3">
        <f>IFERROR(H7-ESPRIM_預け金管理表[[#This Row],[出金額（元）]],-ESPRIM_預け金管理表[[#This Row],[出金額（元）]])</f>
        <v>28989.578458555501</v>
      </c>
      <c r="I8" s="3"/>
      <c r="J8">
        <v>20.63</v>
      </c>
      <c r="K8" s="3">
        <f>ESPRIM_預け金管理表[[#This Row],[出金額（元）]]*ESPRIM_預け金管理表[[#This Row],[為替レート]]</f>
        <v>284.69400000000002</v>
      </c>
      <c r="L8" s="3">
        <f>IFERROR(L7-ESPRIM_預け金管理表[[#This Row],[出金額（円）]],-ESPRIM_預け金管理表[[#This Row],[出金額（円）]])</f>
        <v>598055.00359999994</v>
      </c>
      <c r="M8" t="s">
        <v>17</v>
      </c>
    </row>
    <row r="9" spans="1:13" x14ac:dyDescent="0.55000000000000004">
      <c r="A9">
        <v>8</v>
      </c>
      <c r="B9" s="1">
        <v>45140</v>
      </c>
      <c r="C9" t="s">
        <v>18</v>
      </c>
      <c r="D9" t="s">
        <v>25</v>
      </c>
      <c r="E9">
        <v>18.600000000000001</v>
      </c>
      <c r="F9">
        <v>1</v>
      </c>
      <c r="G9" s="6">
        <v>18.600000000000001</v>
      </c>
      <c r="H9" s="3">
        <f>IFERROR(H8-ESPRIM_預け金管理表[[#This Row],[出金額（元）]],-ESPRIM_預け金管理表[[#This Row],[出金額（元）]])</f>
        <v>28970.978458555503</v>
      </c>
      <c r="I9" s="3"/>
      <c r="J9">
        <v>20.63</v>
      </c>
      <c r="K9" s="3">
        <f>ESPRIM_預け金管理表[[#This Row],[出金額（元）]]*ESPRIM_預け金管理表[[#This Row],[為替レート]]</f>
        <v>383.71800000000002</v>
      </c>
      <c r="L9" s="3">
        <f>IFERROR(L8-ESPRIM_預け金管理表[[#This Row],[出金額（円）]],-ESPRIM_預け金管理表[[#This Row],[出金額（円）]])</f>
        <v>597671.28559999994</v>
      </c>
      <c r="M9" t="s">
        <v>17</v>
      </c>
    </row>
    <row r="10" spans="1:13" x14ac:dyDescent="0.55000000000000004">
      <c r="A10">
        <v>9</v>
      </c>
      <c r="B10" s="1">
        <v>45140</v>
      </c>
      <c r="C10" t="s">
        <v>18</v>
      </c>
      <c r="D10" t="s">
        <v>26</v>
      </c>
      <c r="E10">
        <v>34.799999999999997</v>
      </c>
      <c r="F10">
        <v>1</v>
      </c>
      <c r="G10" s="6">
        <v>34.799999999999997</v>
      </c>
      <c r="H10" s="3">
        <f>IFERROR(H9-ESPRIM_預け金管理表[[#This Row],[出金額（元）]],-ESPRIM_預け金管理表[[#This Row],[出金額（元）]])</f>
        <v>28936.178458555503</v>
      </c>
      <c r="I10" s="3"/>
      <c r="J10">
        <v>20.63</v>
      </c>
      <c r="K10" s="3">
        <f>ESPRIM_預け金管理表[[#This Row],[出金額（元）]]*ESPRIM_預け金管理表[[#This Row],[為替レート]]</f>
        <v>717.92399999999986</v>
      </c>
      <c r="L10" s="3">
        <f>IFERROR(L9-ESPRIM_預け金管理表[[#This Row],[出金額（円）]],-ESPRIM_預け金管理表[[#This Row],[出金額（円）]])</f>
        <v>596953.36159999995</v>
      </c>
      <c r="M10" t="s">
        <v>17</v>
      </c>
    </row>
    <row r="11" spans="1:13" x14ac:dyDescent="0.55000000000000004">
      <c r="A11">
        <v>10</v>
      </c>
      <c r="B11" s="1">
        <v>45140</v>
      </c>
      <c r="C11" t="s">
        <v>18</v>
      </c>
      <c r="D11" t="s">
        <v>27</v>
      </c>
      <c r="E11">
        <v>18.98</v>
      </c>
      <c r="F11">
        <v>1</v>
      </c>
      <c r="G11" s="6">
        <v>18.98</v>
      </c>
      <c r="H11" s="3">
        <f>IFERROR(H10-ESPRIM_預け金管理表[[#This Row],[出金額（元）]],-ESPRIM_預け金管理表[[#This Row],[出金額（元）]])</f>
        <v>28917.198458555504</v>
      </c>
      <c r="I11" s="3"/>
      <c r="J11">
        <v>20.63</v>
      </c>
      <c r="K11" s="3">
        <f>ESPRIM_預け金管理表[[#This Row],[出金額（元）]]*ESPRIM_預け金管理表[[#This Row],[為替レート]]</f>
        <v>391.55739999999997</v>
      </c>
      <c r="L11" s="3">
        <f>IFERROR(L10-ESPRIM_預け金管理表[[#This Row],[出金額（円）]],-ESPRIM_預け金管理表[[#This Row],[出金額（円）]])</f>
        <v>596561.8041999999</v>
      </c>
      <c r="M11" t="s">
        <v>17</v>
      </c>
    </row>
    <row r="12" spans="1:13" x14ac:dyDescent="0.55000000000000004">
      <c r="A12">
        <v>11</v>
      </c>
      <c r="B12" s="1">
        <v>45140</v>
      </c>
      <c r="C12" t="s">
        <v>18</v>
      </c>
      <c r="D12" t="s">
        <v>28</v>
      </c>
      <c r="E12">
        <v>12.8</v>
      </c>
      <c r="F12">
        <v>1</v>
      </c>
      <c r="G12" s="6">
        <v>12.8</v>
      </c>
      <c r="H12" s="3">
        <f>IFERROR(H11-ESPRIM_預け金管理表[[#This Row],[出金額（元）]],-ESPRIM_預け金管理表[[#This Row],[出金額（元）]])</f>
        <v>28904.398458555504</v>
      </c>
      <c r="I12" s="3"/>
      <c r="J12">
        <v>20.63</v>
      </c>
      <c r="K12" s="3">
        <f>ESPRIM_預け金管理表[[#This Row],[出金額（元）]]*ESPRIM_預け金管理表[[#This Row],[為替レート]]</f>
        <v>264.06400000000002</v>
      </c>
      <c r="L12" s="3">
        <f>IFERROR(L11-ESPRIM_預け金管理表[[#This Row],[出金額（円）]],-ESPRIM_預け金管理表[[#This Row],[出金額（円）]])</f>
        <v>596297.74019999988</v>
      </c>
      <c r="M12" t="s">
        <v>17</v>
      </c>
    </row>
    <row r="13" spans="1:13" x14ac:dyDescent="0.55000000000000004">
      <c r="A13">
        <v>12</v>
      </c>
      <c r="B13" s="1">
        <v>45140</v>
      </c>
      <c r="C13" t="s">
        <v>18</v>
      </c>
      <c r="D13" t="s">
        <v>29</v>
      </c>
      <c r="E13">
        <v>18.98</v>
      </c>
      <c r="F13">
        <v>1</v>
      </c>
      <c r="G13" s="6">
        <v>18.98</v>
      </c>
      <c r="H13" s="3">
        <f>IFERROR(H12-ESPRIM_預け金管理表[[#This Row],[出金額（元）]],-ESPRIM_預け金管理表[[#This Row],[出金額（元）]])</f>
        <v>28885.418458555505</v>
      </c>
      <c r="I13" s="3"/>
      <c r="J13">
        <v>20.63</v>
      </c>
      <c r="K13" s="3">
        <f>ESPRIM_預け金管理表[[#This Row],[出金額（元）]]*ESPRIM_預け金管理表[[#This Row],[為替レート]]</f>
        <v>391.55739999999997</v>
      </c>
      <c r="L13" s="3">
        <f>IFERROR(L12-ESPRIM_預け金管理表[[#This Row],[出金額（円）]],-ESPRIM_預け金管理表[[#This Row],[出金額（円）]])</f>
        <v>595906.18279999983</v>
      </c>
      <c r="M13" t="s">
        <v>17</v>
      </c>
    </row>
    <row r="14" spans="1:13" ht="54" x14ac:dyDescent="0.55000000000000004">
      <c r="A14">
        <v>13</v>
      </c>
      <c r="B14" s="1">
        <v>45184</v>
      </c>
      <c r="C14" t="s">
        <v>30</v>
      </c>
      <c r="D14" t="s">
        <v>31</v>
      </c>
      <c r="E14">
        <v>116</v>
      </c>
      <c r="F14">
        <v>1</v>
      </c>
      <c r="G14" s="6">
        <v>116</v>
      </c>
      <c r="H14" s="3">
        <f>IFERROR(H13-ESPRIM_預け金管理表[[#This Row],[出金額（元）]],-ESPRIM_預け金管理表[[#This Row],[出金額（元）]])</f>
        <v>28769.418458555505</v>
      </c>
      <c r="I14" s="10" t="s">
        <v>70</v>
      </c>
      <c r="J14">
        <v>20.63</v>
      </c>
      <c r="K14" s="3">
        <f>ESPRIM_預け金管理表[[#This Row],[出金額（元）]]*ESPRIM_預け金管理表[[#This Row],[為替レート]]</f>
        <v>2393.08</v>
      </c>
      <c r="L14" s="3">
        <f>IFERROR(L13-ESPRIM_預け金管理表[[#This Row],[出金額（円）]],-ESPRIM_預け金管理表[[#This Row],[出金額（円）]])</f>
        <v>593513.10279999988</v>
      </c>
      <c r="M14" t="s">
        <v>17</v>
      </c>
    </row>
    <row r="15" spans="1:13" x14ac:dyDescent="0.55000000000000004">
      <c r="A15">
        <v>14</v>
      </c>
      <c r="B15" s="1">
        <v>45245</v>
      </c>
      <c r="C15" t="s">
        <v>32</v>
      </c>
      <c r="D15" t="s">
        <v>33</v>
      </c>
      <c r="E15">
        <v>125</v>
      </c>
      <c r="F15">
        <v>1</v>
      </c>
      <c r="G15" s="6">
        <v>125</v>
      </c>
      <c r="H15" s="3">
        <f>IFERROR(H14-ESPRIM_預け金管理表[[#This Row],[出金額（元）]],-ESPRIM_預け金管理表[[#This Row],[出金額（元）]])</f>
        <v>28644.418458555505</v>
      </c>
      <c r="I15" s="3"/>
      <c r="J15">
        <v>20.63</v>
      </c>
      <c r="K15" s="3">
        <f>ESPRIM_預け金管理表[[#This Row],[出金額（元）]]*ESPRIM_預け金管理表[[#This Row],[為替レート]]</f>
        <v>2578.75</v>
      </c>
      <c r="L15" s="3">
        <f>IFERROR(L14-ESPRIM_預け金管理表[[#This Row],[出金額（円）]],-ESPRIM_預け金管理表[[#This Row],[出金額（円）]])</f>
        <v>590934.35279999988</v>
      </c>
      <c r="M15" t="s">
        <v>34</v>
      </c>
    </row>
    <row r="16" spans="1:13" x14ac:dyDescent="0.55000000000000004">
      <c r="A16">
        <v>15</v>
      </c>
      <c r="B16" s="1">
        <v>45641</v>
      </c>
      <c r="C16" t="s">
        <v>18</v>
      </c>
      <c r="D16" t="s">
        <v>65</v>
      </c>
      <c r="E16">
        <v>200</v>
      </c>
      <c r="F16">
        <v>1</v>
      </c>
      <c r="G16" s="6">
        <v>200</v>
      </c>
      <c r="H16" s="3">
        <f>IFERROR(H15-ESPRIM_預け金管理表[[#This Row],[出金額（元）]],-ESPRIM_預け金管理表[[#This Row],[出金額（元）]])</f>
        <v>28444.418458555505</v>
      </c>
      <c r="I16" s="3"/>
      <c r="J16">
        <v>20.63</v>
      </c>
      <c r="K16" s="3">
        <f>ESPRIM_預け金管理表[[#This Row],[出金額（元）]]*ESPRIM_預け金管理表[[#This Row],[為替レート]]</f>
        <v>4126</v>
      </c>
      <c r="L16" s="3">
        <f>IFERROR(L15-ESPRIM_預け金管理表[[#This Row],[出金額（円）]],-ESPRIM_預け金管理表[[#This Row],[出金額（円）]])</f>
        <v>586808.35279999988</v>
      </c>
      <c r="M16" s="3"/>
    </row>
    <row r="17" spans="1:13" x14ac:dyDescent="0.55000000000000004">
      <c r="A17">
        <v>16</v>
      </c>
      <c r="B17" s="1">
        <v>45641</v>
      </c>
      <c r="C17" t="s">
        <v>66</v>
      </c>
      <c r="D17" t="s">
        <v>67</v>
      </c>
      <c r="E17">
        <v>12</v>
      </c>
      <c r="F17">
        <v>1</v>
      </c>
      <c r="G17" s="6">
        <v>12</v>
      </c>
      <c r="H17" s="3">
        <f>IFERROR(H16-ESPRIM_預け金管理表[[#This Row],[出金額（元）]],-ESPRIM_預け金管理表[[#This Row],[出金額（元）]])</f>
        <v>28432.418458555505</v>
      </c>
      <c r="I17" s="3"/>
      <c r="J17">
        <v>20.63</v>
      </c>
      <c r="K17" s="3">
        <f>ESPRIM_預け金管理表[[#This Row],[出金額（元）]]*ESPRIM_預け金管理表[[#This Row],[為替レート]]</f>
        <v>247.56</v>
      </c>
      <c r="L17" s="3">
        <f>IFERROR(L16-ESPRIM_預け金管理表[[#This Row],[出金額（円）]],-ESPRIM_預け金管理表[[#This Row],[出金額（円）]])</f>
        <v>586560.79279999982</v>
      </c>
      <c r="M17" s="3"/>
    </row>
    <row r="18" spans="1:13" x14ac:dyDescent="0.55000000000000004">
      <c r="A18">
        <v>17</v>
      </c>
      <c r="B18" s="1">
        <v>45308</v>
      </c>
      <c r="C18" t="s">
        <v>32</v>
      </c>
      <c r="D18" t="s">
        <v>68</v>
      </c>
      <c r="E18">
        <v>125</v>
      </c>
      <c r="F18">
        <v>1</v>
      </c>
      <c r="G18" s="6">
        <v>125</v>
      </c>
      <c r="H18" s="3">
        <f>IFERROR(H17-ESPRIM_預け金管理表[[#This Row],[出金額（元）]],-ESPRIM_預け金管理表[[#This Row],[出金額（元）]])</f>
        <v>28307.418458555505</v>
      </c>
      <c r="I18" s="3"/>
      <c r="J18">
        <v>20.63</v>
      </c>
      <c r="K18" s="3">
        <f>ESPRIM_預け金管理表[[#This Row],[出金額（元）]]*ESPRIM_預け金管理表[[#This Row],[為替レート]]</f>
        <v>2578.75</v>
      </c>
      <c r="L18" s="3">
        <f>IFERROR(L17-ESPRIM_預け金管理表[[#This Row],[出金額（円）]],-ESPRIM_預け金管理表[[#This Row],[出金額（円）]])</f>
        <v>583982.04279999982</v>
      </c>
      <c r="M18" s="3"/>
    </row>
  </sheetData>
  <phoneticPr fontId="2"/>
  <pageMargins left="0.7" right="0.7" top="0.75" bottom="0.75" header="0.3" footer="0.3"/>
  <pageSetup paperSize="9" scale="61" fitToHeight="0" orientation="landscape" horizontalDpi="4294967293" r:id="rId1"/>
  <ignoredErrors>
    <ignoredError sqref="G2:G13 J2 G17 G14:G16 G18 J16:J18 J4:J15" calculatedColumn="1"/>
  </ignoredErrors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DC84DB-043C-4CD2-A4BE-A9043DB0261A}">
  <sheetPr>
    <pageSetUpPr fitToPage="1"/>
  </sheetPr>
  <dimension ref="A1:J4"/>
  <sheetViews>
    <sheetView workbookViewId="0">
      <selection activeCell="H2" sqref="H2"/>
    </sheetView>
  </sheetViews>
  <sheetFormatPr defaultRowHeight="18" x14ac:dyDescent="0.55000000000000004"/>
  <cols>
    <col min="2" max="2" width="13.25" customWidth="1"/>
    <col min="3" max="3" width="9.83203125" customWidth="1"/>
    <col min="6" max="6" width="13.58203125" customWidth="1"/>
    <col min="7" max="8" width="11.75" customWidth="1"/>
    <col min="9" max="9" width="13.58203125" customWidth="1"/>
    <col min="10" max="10" width="11.75" customWidth="1"/>
  </cols>
  <sheetData>
    <row r="1" spans="1:10" x14ac:dyDescent="0.55000000000000004">
      <c r="A1" t="s">
        <v>4</v>
      </c>
      <c r="B1" t="s">
        <v>35</v>
      </c>
      <c r="C1" t="s">
        <v>36</v>
      </c>
      <c r="D1" t="s">
        <v>37</v>
      </c>
      <c r="E1" t="s">
        <v>15</v>
      </c>
      <c r="F1" t="s">
        <v>38</v>
      </c>
      <c r="G1" t="s">
        <v>11</v>
      </c>
      <c r="H1" t="s">
        <v>12</v>
      </c>
      <c r="I1" t="s">
        <v>13</v>
      </c>
      <c r="J1" t="s">
        <v>14</v>
      </c>
    </row>
    <row r="2" spans="1:10" x14ac:dyDescent="0.55000000000000004">
      <c r="A2">
        <v>1</v>
      </c>
      <c r="B2" s="1">
        <v>45074</v>
      </c>
      <c r="C2" t="s">
        <v>16</v>
      </c>
      <c r="F2" s="4">
        <f>-300000/19.92</f>
        <v>-15060.24096385542</v>
      </c>
      <c r="G2" s="4">
        <f>IFERROR(G1-直行便_預け金管理表[[#This Row],[出金額（元）]],-直行便_預け金管理表[[#This Row],[出金額（元）]])</f>
        <v>15060.24096385542</v>
      </c>
      <c r="H2" s="5">
        <f>_xlfn.XLOOKUP(EOMONTH(直行便_預け金管理表[[#This Row],[発生日]],-1)+1,為替レート表[月初日付],為替レート表[中国人民元],0)</f>
        <v>19.920000000000002</v>
      </c>
      <c r="I2" s="4">
        <f>直行便_預け金管理表[[#This Row],[出金額（元）]]*直行便_預け金管理表[[#This Row],[為替レート]]</f>
        <v>-300000</v>
      </c>
      <c r="J2" s="4">
        <f>IFERROR(J1-直行便_預け金管理表[[#This Row],[出金額（円）]],-直行便_預け金管理表[[#This Row],[出金額（円）]])</f>
        <v>300000</v>
      </c>
    </row>
    <row r="3" spans="1:10" x14ac:dyDescent="0.55000000000000004">
      <c r="A3">
        <v>2</v>
      </c>
      <c r="B3" s="1">
        <v>45176</v>
      </c>
      <c r="C3" t="s">
        <v>39</v>
      </c>
      <c r="F3" s="4">
        <f>285275/20.53</f>
        <v>13895.518753044325</v>
      </c>
      <c r="G3" s="4">
        <f>IFERROR(G2-直行便_預け金管理表[[#This Row],[出金額（元）]],-直行便_預け金管理表[[#This Row],[出金額（元）]])</f>
        <v>1164.7222108110946</v>
      </c>
      <c r="H3" s="5">
        <f>_xlfn.XLOOKUP(EOMONTH(直行便_預け金管理表[[#This Row],[発生日]],-1)+1,為替レート表[月初日付],為替レート表[中国人民元],0)</f>
        <v>20.53</v>
      </c>
      <c r="I3" s="4">
        <f>直行便_預け金管理表[[#This Row],[出金額（元）]]*直行便_預け金管理表[[#This Row],[為替レート]]</f>
        <v>285275</v>
      </c>
      <c r="J3" s="4">
        <f>IFERROR(J2-直行便_預け金管理表[[#This Row],[出金額（円）]],-直行便_預け金管理表[[#This Row],[出金額（円）]])</f>
        <v>14725</v>
      </c>
    </row>
    <row r="4" spans="1:10" x14ac:dyDescent="0.55000000000000004">
      <c r="A4">
        <v>3</v>
      </c>
      <c r="B4" s="1">
        <v>45176</v>
      </c>
      <c r="C4" t="s">
        <v>40</v>
      </c>
      <c r="F4" s="4">
        <f>14725/20.53</f>
        <v>717.24305893813926</v>
      </c>
      <c r="G4" s="4">
        <f>IFERROR(G3-直行便_預け金管理表[[#This Row],[出金額（元）]],-直行便_預け金管理表[[#This Row],[出金額（元）]])</f>
        <v>447.4791518729553</v>
      </c>
      <c r="H4" s="5">
        <f>_xlfn.XLOOKUP(EOMONTH(直行便_預け金管理表[[#This Row],[発生日]],-1)+1,為替レート表[月初日付],為替レート表[中国人民元],0)</f>
        <v>20.53</v>
      </c>
      <c r="I4" s="4">
        <f>直行便_預け金管理表[[#This Row],[出金額（元）]]*直行便_預け金管理表[[#This Row],[為替レート]]</f>
        <v>14725</v>
      </c>
      <c r="J4" s="4">
        <f>IFERROR(J3-直行便_預け金管理表[[#This Row],[出金額（円）]],-直行便_預け金管理表[[#This Row],[出金額（円）]])</f>
        <v>0</v>
      </c>
    </row>
  </sheetData>
  <phoneticPr fontId="2"/>
  <pageMargins left="0.7" right="0.7" top="0.75" bottom="0.75" header="0.3" footer="0.3"/>
  <pageSetup paperSize="9" scale="87" fitToHeight="0" orientation="landscape" horizontalDpi="4294967293" verticalDpi="0" r:id="rId1"/>
  <tableParts count="1">
    <tablePart r:id="rId2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DF23D8-2FD5-4C1C-8835-80155F623F5E}">
  <sheetPr codeName="Sheet8">
    <pageSetUpPr fitToPage="1"/>
  </sheetPr>
  <dimension ref="A1:M59"/>
  <sheetViews>
    <sheetView tabSelected="1" zoomScale="70" zoomScaleNormal="70" workbookViewId="0">
      <selection activeCell="I59" sqref="I59"/>
    </sheetView>
  </sheetViews>
  <sheetFormatPr defaultRowHeight="18" x14ac:dyDescent="0.55000000000000004"/>
  <cols>
    <col min="2" max="2" width="12" customWidth="1"/>
    <col min="3" max="3" width="12.1640625" customWidth="1"/>
    <col min="4" max="4" width="18.25" customWidth="1"/>
    <col min="5" max="5" width="7.4140625" customWidth="1"/>
    <col min="6" max="6" width="13.58203125" customWidth="1"/>
    <col min="7" max="8" width="11.75" customWidth="1"/>
    <col min="9" max="9" width="17.5" customWidth="1"/>
    <col min="10" max="10" width="11.75" customWidth="1"/>
    <col min="11" max="11" width="14.5" customWidth="1"/>
    <col min="12" max="12" width="16.25" customWidth="1"/>
    <col min="13" max="13" width="17.75" customWidth="1"/>
  </cols>
  <sheetData>
    <row r="1" spans="1:13" x14ac:dyDescent="0.55000000000000004">
      <c r="A1" t="s">
        <v>4</v>
      </c>
      <c r="B1" t="s">
        <v>35</v>
      </c>
      <c r="C1" t="s">
        <v>36</v>
      </c>
      <c r="D1" t="s">
        <v>37</v>
      </c>
      <c r="E1" t="s">
        <v>15</v>
      </c>
      <c r="F1" t="s">
        <v>38</v>
      </c>
      <c r="G1" t="s">
        <v>11</v>
      </c>
      <c r="H1" t="s">
        <v>12</v>
      </c>
      <c r="I1" t="s">
        <v>13</v>
      </c>
      <c r="J1" t="s">
        <v>14</v>
      </c>
      <c r="K1" t="s">
        <v>71</v>
      </c>
      <c r="L1" s="11" t="s">
        <v>72</v>
      </c>
      <c r="M1" t="s">
        <v>76</v>
      </c>
    </row>
    <row r="2" spans="1:13" x14ac:dyDescent="0.55000000000000004">
      <c r="A2">
        <v>1</v>
      </c>
      <c r="B2" s="1">
        <v>44735</v>
      </c>
      <c r="C2" t="s">
        <v>16</v>
      </c>
      <c r="F2" s="4">
        <f>-200000/20.29</f>
        <v>-9857.0724494825045</v>
      </c>
      <c r="G2" s="3">
        <f>IFERROR(G1-YP_預け金管理表[[#This Row],[出金額（元）]],-YP_預け金管理表[[#This Row],[出金額（元）]])</f>
        <v>9857.0724494825045</v>
      </c>
      <c r="H2">
        <f>_xlfn.XLOOKUP(EOMONTH(YP_預け金管理表[[#This Row],[発生日]],-1)+1,為替レート表[月初日付],為替レート表[中国人民元],0)</f>
        <v>20.29</v>
      </c>
      <c r="I2" s="6">
        <f>YP_預け金管理表[[#This Row],[出金額（元）]]*YP_預け金管理表[[#This Row],[為替レート]]</f>
        <v>-200000</v>
      </c>
      <c r="J2" s="3">
        <v>200000</v>
      </c>
      <c r="K2" s="13">
        <f>ROUND(YP_預け金管理表[[#This Row],[出金額（元）]]*YP_預け金管理表[[#This Row],[為替レート]],0)</f>
        <v>-200000</v>
      </c>
      <c r="L2" s="12">
        <v>200000</v>
      </c>
      <c r="M2">
        <f>ROUND(YP_預け金管理表[[#This Row],[出金額（元）]]*YP_預け金管理表[[#This Row],[為替レート]],0)</f>
        <v>-200000</v>
      </c>
    </row>
    <row r="3" spans="1:13" x14ac:dyDescent="0.55000000000000004">
      <c r="A3">
        <v>2</v>
      </c>
      <c r="B3" s="1">
        <v>44735</v>
      </c>
      <c r="C3" t="s">
        <v>41</v>
      </c>
      <c r="F3" s="4">
        <v>41</v>
      </c>
      <c r="G3" s="3">
        <f>IFERROR(G2-YP_預け金管理表[[#This Row],[出金額（元）]],-YP_預け金管理表[[#This Row],[出金額（元）]])</f>
        <v>9816.0724494825045</v>
      </c>
      <c r="H3">
        <f>_xlfn.XLOOKUP(EOMONTH(YP_預け金管理表[[#This Row],[発生日]],-1)+1,為替レート表[月初日付],為替レート表[中国人民元],0)</f>
        <v>20.29</v>
      </c>
      <c r="I3" s="14">
        <f>YP_預け金管理表[[#This Row],[出金額（元）]]*YP_預け金管理表[[#This Row],[為替レート]]</f>
        <v>831.89</v>
      </c>
      <c r="J3" s="3">
        <v>199168</v>
      </c>
      <c r="K3" s="13">
        <f>ROUND(YP_預け金管理表[[#This Row],[出金額（元）]]*YP_預け金管理表[[#This Row],[為替レート]],0)</f>
        <v>832</v>
      </c>
      <c r="L3" s="13">
        <f>L2-YP_預け金管理表[[#This Row],[出金額（円）2]]</f>
        <v>199168</v>
      </c>
      <c r="M3">
        <f>ROUND(YP_預け金管理表[[#This Row],[出金額（元）]]*YP_預け金管理表[[#This Row],[為替レート]],0)</f>
        <v>832</v>
      </c>
    </row>
    <row r="4" spans="1:13" x14ac:dyDescent="0.55000000000000004">
      <c r="A4">
        <v>3</v>
      </c>
      <c r="B4" s="1">
        <v>44735</v>
      </c>
      <c r="C4" t="s">
        <v>41</v>
      </c>
      <c r="F4" s="4">
        <v>86</v>
      </c>
      <c r="G4" s="3">
        <f>IFERROR(G3-YP_預け金管理表[[#This Row],[出金額（元）]],-YP_預け金管理表[[#This Row],[出金額（元）]])</f>
        <v>9730.0724494825045</v>
      </c>
      <c r="H4">
        <f>_xlfn.XLOOKUP(EOMONTH(YP_預け金管理表[[#This Row],[発生日]],-1)+1,為替レート表[月初日付],為替レート表[中国人民元],0)</f>
        <v>20.29</v>
      </c>
      <c r="I4" s="14">
        <f>YP_預け金管理表[[#This Row],[出金額（元）]]*YP_預け金管理表[[#This Row],[為替レート]]</f>
        <v>1744.9399999999998</v>
      </c>
      <c r="J4" s="3">
        <v>197423</v>
      </c>
      <c r="K4" s="13">
        <f>ROUND(YP_預け金管理表[[#This Row],[出金額（元）]]*YP_預け金管理表[[#This Row],[為替レート]],0)</f>
        <v>1745</v>
      </c>
      <c r="L4" s="13">
        <f>L3-YP_預け金管理表[[#This Row],[出金額（円）2]]</f>
        <v>197423</v>
      </c>
      <c r="M4">
        <f>ROUND(YP_預け金管理表[[#This Row],[出金額（元）]]*YP_預け金管理表[[#This Row],[為替レート]],0)</f>
        <v>1745</v>
      </c>
    </row>
    <row r="5" spans="1:13" x14ac:dyDescent="0.55000000000000004">
      <c r="A5">
        <v>4</v>
      </c>
      <c r="B5" s="1">
        <v>44735</v>
      </c>
      <c r="C5" t="s">
        <v>41</v>
      </c>
      <c r="F5" s="4">
        <v>109</v>
      </c>
      <c r="G5" s="3">
        <f>IFERROR(G4-YP_預け金管理表[[#This Row],[出金額（元）]],-YP_預け金管理表[[#This Row],[出金額（元）]])</f>
        <v>9621.0724494825045</v>
      </c>
      <c r="H5">
        <f>_xlfn.XLOOKUP(EOMONTH(YP_預け金管理表[[#This Row],[発生日]],-1)+1,為替レート表[月初日付],為替レート表[中国人民元],0)</f>
        <v>20.29</v>
      </c>
      <c r="I5" s="14">
        <f>YP_預け金管理表[[#This Row],[出金額（元）]]*YP_預け金管理表[[#This Row],[為替レート]]</f>
        <v>2211.61</v>
      </c>
      <c r="J5" s="3">
        <v>195212</v>
      </c>
      <c r="K5" s="13">
        <f>ROUND(YP_預け金管理表[[#This Row],[出金額（元）]]*YP_預け金管理表[[#This Row],[為替レート]],0)</f>
        <v>2212</v>
      </c>
      <c r="L5" s="13">
        <f>L4-YP_預け金管理表[[#This Row],[出金額（円）2]]</f>
        <v>195211</v>
      </c>
      <c r="M5">
        <f>ROUND(YP_預け金管理表[[#This Row],[出金額（元）]]*YP_預け金管理表[[#This Row],[為替レート]],0)</f>
        <v>2212</v>
      </c>
    </row>
    <row r="6" spans="1:13" x14ac:dyDescent="0.55000000000000004">
      <c r="A6">
        <v>5</v>
      </c>
      <c r="B6" s="1">
        <v>44735</v>
      </c>
      <c r="C6" t="s">
        <v>41</v>
      </c>
      <c r="F6" s="4">
        <v>67</v>
      </c>
      <c r="G6" s="3">
        <f>IFERROR(G5-YP_預け金管理表[[#This Row],[出金額（元）]],-YP_預け金管理表[[#This Row],[出金額（元）]])</f>
        <v>9554.0724494825045</v>
      </c>
      <c r="H6">
        <f>_xlfn.XLOOKUP(EOMONTH(YP_預け金管理表[[#This Row],[発生日]],-1)+1,為替レート表[月初日付],為替レート表[中国人民元],0)</f>
        <v>20.29</v>
      </c>
      <c r="I6" s="14">
        <f>YP_預け金管理表[[#This Row],[出金額（元）]]*YP_預け金管理表[[#This Row],[為替レート]]</f>
        <v>1359.4299999999998</v>
      </c>
      <c r="J6" s="3">
        <v>193852</v>
      </c>
      <c r="K6" s="13">
        <f>ROUND(YP_預け金管理表[[#This Row],[出金額（元）]]*YP_預け金管理表[[#This Row],[為替レート]],0)</f>
        <v>1359</v>
      </c>
      <c r="L6" s="13">
        <f>L5-YP_預け金管理表[[#This Row],[出金額（円）2]]</f>
        <v>193852</v>
      </c>
      <c r="M6">
        <f>ROUND(YP_預け金管理表[[#This Row],[出金額（元）]]*YP_預け金管理表[[#This Row],[為替レート]],0)</f>
        <v>1359</v>
      </c>
    </row>
    <row r="7" spans="1:13" x14ac:dyDescent="0.55000000000000004">
      <c r="A7">
        <v>6</v>
      </c>
      <c r="B7" s="1">
        <v>44749</v>
      </c>
      <c r="C7" t="s">
        <v>41</v>
      </c>
      <c r="D7" t="s">
        <v>42</v>
      </c>
      <c r="F7" s="4">
        <v>875</v>
      </c>
      <c r="G7" s="3">
        <f>IFERROR(G6-YP_預け金管理表[[#This Row],[出金額（元）]],-YP_預け金管理表[[#This Row],[出金額（元）]])</f>
        <v>8679.0724494825045</v>
      </c>
      <c r="H7">
        <f>_xlfn.XLOOKUP(EOMONTH(YP_預け金管理表[[#This Row],[発生日]],-1)+1,為替レート表[月初日付],為替レート表[中国人民元],0)</f>
        <v>20.61</v>
      </c>
      <c r="I7" s="14">
        <f>YP_預け金管理表[[#This Row],[出金額（元）]]*YP_預け金管理表[[#This Row],[為替レート]]</f>
        <v>18033.75</v>
      </c>
      <c r="J7" s="3">
        <v>175818</v>
      </c>
      <c r="K7" s="13">
        <f>ROUND(YP_預け金管理表[[#This Row],[出金額（元）]]*YP_預け金管理表[[#This Row],[為替レート]],0)</f>
        <v>18034</v>
      </c>
      <c r="L7" s="13">
        <f>L6-YP_預け金管理表[[#This Row],[出金額（円）2]]</f>
        <v>175818</v>
      </c>
      <c r="M7">
        <f>ROUND(YP_預け金管理表[[#This Row],[出金額（元）]]*YP_預け金管理表[[#This Row],[為替レート]],0)</f>
        <v>18034</v>
      </c>
    </row>
    <row r="8" spans="1:13" x14ac:dyDescent="0.55000000000000004">
      <c r="A8">
        <v>7</v>
      </c>
      <c r="B8" s="1">
        <v>44817</v>
      </c>
      <c r="C8" t="s">
        <v>41</v>
      </c>
      <c r="F8" s="4">
        <v>26</v>
      </c>
      <c r="G8" s="3">
        <f>IFERROR(G7-YP_預け金管理表[[#This Row],[出金額（元）]],-YP_預け金管理表[[#This Row],[出金額（元）]])</f>
        <v>8653.0724494825045</v>
      </c>
      <c r="H8">
        <f>_xlfn.XLOOKUP(EOMONTH(YP_預け金管理表[[#This Row],[発生日]],-1)+1,為替レート表[月初日付],為替レート表[中国人民元],0)</f>
        <v>20.7</v>
      </c>
      <c r="I8" s="14">
        <f>YP_預け金管理表[[#This Row],[出金額（元）]]*YP_預け金管理表[[#This Row],[為替レート]]</f>
        <v>538.19999999999993</v>
      </c>
      <c r="J8" s="3">
        <v>175280</v>
      </c>
      <c r="K8" s="13">
        <f>ROUND(YP_預け金管理表[[#This Row],[出金額（元）]]*YP_預け金管理表[[#This Row],[為替レート]],0)</f>
        <v>538</v>
      </c>
      <c r="L8" s="13">
        <f>L7-YP_預け金管理表[[#This Row],[出金額（円）2]]</f>
        <v>175280</v>
      </c>
      <c r="M8">
        <f>ROUND(YP_預け金管理表[[#This Row],[出金額（元）]]*YP_預け金管理表[[#This Row],[為替レート]],0)</f>
        <v>538</v>
      </c>
    </row>
    <row r="9" spans="1:13" x14ac:dyDescent="0.55000000000000004">
      <c r="A9">
        <v>8</v>
      </c>
      <c r="B9" s="1">
        <v>44817</v>
      </c>
      <c r="C9" t="s">
        <v>41</v>
      </c>
      <c r="F9" s="4">
        <v>11</v>
      </c>
      <c r="G9" s="3">
        <f>IFERROR(G8-YP_預け金管理表[[#This Row],[出金額（元）]],-YP_預け金管理表[[#This Row],[出金額（元）]])</f>
        <v>8642.0724494825045</v>
      </c>
      <c r="H9">
        <f>_xlfn.XLOOKUP(EOMONTH(YP_預け金管理表[[#This Row],[発生日]],-1)+1,為替レート表[月初日付],為替レート表[中国人民元],0)</f>
        <v>20.7</v>
      </c>
      <c r="I9" s="14">
        <f>YP_預け金管理表[[#This Row],[出金額（元）]]*YP_預け金管理表[[#This Row],[為替レート]]</f>
        <v>227.7</v>
      </c>
      <c r="J9" s="3">
        <v>175052</v>
      </c>
      <c r="K9" s="13">
        <f>ROUND(YP_預け金管理表[[#This Row],[出金額（元）]]*YP_預け金管理表[[#This Row],[為替レート]],0)</f>
        <v>228</v>
      </c>
      <c r="L9" s="13">
        <f>L8-YP_預け金管理表[[#This Row],[出金額（円）2]]</f>
        <v>175052</v>
      </c>
      <c r="M9">
        <f>ROUND(YP_預け金管理表[[#This Row],[出金額（元）]]*YP_預け金管理表[[#This Row],[為替レート]],0)</f>
        <v>228</v>
      </c>
    </row>
    <row r="10" spans="1:13" x14ac:dyDescent="0.55000000000000004">
      <c r="A10">
        <v>9</v>
      </c>
      <c r="B10" s="1">
        <v>44817</v>
      </c>
      <c r="C10" t="s">
        <v>41</v>
      </c>
      <c r="F10" s="4">
        <v>9</v>
      </c>
      <c r="G10" s="3">
        <f>IFERROR(G9-YP_預け金管理表[[#This Row],[出金額（元）]],-YP_預け金管理表[[#This Row],[出金額（元）]])</f>
        <v>8633.0724494825045</v>
      </c>
      <c r="H10">
        <f>_xlfn.XLOOKUP(EOMONTH(YP_預け金管理表[[#This Row],[発生日]],-1)+1,為替レート表[月初日付],為替レート表[中国人民元],0)</f>
        <v>20.7</v>
      </c>
      <c r="I10" s="14">
        <f>YP_預け金管理表[[#This Row],[出金額（元）]]*YP_預け金管理表[[#This Row],[為替レート]]</f>
        <v>186.29999999999998</v>
      </c>
      <c r="J10" s="3">
        <v>174866</v>
      </c>
      <c r="K10" s="13">
        <f>ROUND(YP_預け金管理表[[#This Row],[出金額（元）]]*YP_預け金管理表[[#This Row],[為替レート]],0)</f>
        <v>186</v>
      </c>
      <c r="L10" s="13">
        <f>L9-YP_預け金管理表[[#This Row],[出金額（円）2]]</f>
        <v>174866</v>
      </c>
      <c r="M10">
        <f>ROUND(YP_預け金管理表[[#This Row],[出金額（元）]]*YP_預け金管理表[[#This Row],[為替レート]],0)</f>
        <v>186</v>
      </c>
    </row>
    <row r="11" spans="1:13" x14ac:dyDescent="0.55000000000000004">
      <c r="A11">
        <v>10</v>
      </c>
      <c r="B11" s="1">
        <v>44817</v>
      </c>
      <c r="C11" t="s">
        <v>41</v>
      </c>
      <c r="F11" s="4">
        <v>25</v>
      </c>
      <c r="G11" s="3">
        <f>IFERROR(G10-YP_預け金管理表[[#This Row],[出金額（元）]],-YP_預け金管理表[[#This Row],[出金額（元）]])</f>
        <v>8608.0724494825045</v>
      </c>
      <c r="H11">
        <f>_xlfn.XLOOKUP(EOMONTH(YP_預け金管理表[[#This Row],[発生日]],-1)+1,為替レート表[月初日付],為替レート表[中国人民元],0)</f>
        <v>20.7</v>
      </c>
      <c r="I11" s="14">
        <f>YP_預け金管理表[[#This Row],[出金額（元）]]*YP_預け金管理表[[#This Row],[為替レート]]</f>
        <v>517.5</v>
      </c>
      <c r="J11" s="3">
        <v>174349</v>
      </c>
      <c r="K11" s="13">
        <f>ROUND(YP_預け金管理表[[#This Row],[出金額（元）]]*YP_預け金管理表[[#This Row],[為替レート]],0)</f>
        <v>518</v>
      </c>
      <c r="L11" s="13">
        <f>L10-YP_預け金管理表[[#This Row],[出金額（円）2]]</f>
        <v>174348</v>
      </c>
      <c r="M11">
        <f>ROUND(YP_預け金管理表[[#This Row],[出金額（元）]]*YP_預け金管理表[[#This Row],[為替レート]],0)</f>
        <v>518</v>
      </c>
    </row>
    <row r="12" spans="1:13" x14ac:dyDescent="0.55000000000000004">
      <c r="A12">
        <v>11</v>
      </c>
      <c r="B12" s="1">
        <v>44817</v>
      </c>
      <c r="C12" t="s">
        <v>41</v>
      </c>
      <c r="F12" s="4">
        <v>16</v>
      </c>
      <c r="G12" s="3">
        <f>IFERROR(G11-YP_預け金管理表[[#This Row],[出金額（元）]],-YP_預け金管理表[[#This Row],[出金額（元）]])</f>
        <v>8592.0724494825045</v>
      </c>
      <c r="H12">
        <f>_xlfn.XLOOKUP(EOMONTH(YP_預け金管理表[[#This Row],[発生日]],-1)+1,為替レート表[月初日付],為替レート表[中国人民元],0)</f>
        <v>20.7</v>
      </c>
      <c r="I12" s="14">
        <f>YP_預け金管理表[[#This Row],[出金額（元）]]*YP_預け金管理表[[#This Row],[為替レート]]</f>
        <v>331.2</v>
      </c>
      <c r="J12" s="3">
        <v>174017</v>
      </c>
      <c r="K12" s="13">
        <f>ROUND(YP_預け金管理表[[#This Row],[出金額（元）]]*YP_預け金管理表[[#This Row],[為替レート]],0)</f>
        <v>331</v>
      </c>
      <c r="L12" s="13">
        <f>L11-YP_預け金管理表[[#This Row],[出金額（円）2]]</f>
        <v>174017</v>
      </c>
      <c r="M12">
        <f>ROUND(YP_預け金管理表[[#This Row],[出金額（元）]]*YP_預け金管理表[[#This Row],[為替レート]],0)</f>
        <v>331</v>
      </c>
    </row>
    <row r="13" spans="1:13" x14ac:dyDescent="0.55000000000000004">
      <c r="A13">
        <v>12</v>
      </c>
      <c r="B13" s="1">
        <v>44817</v>
      </c>
      <c r="C13" t="s">
        <v>41</v>
      </c>
      <c r="F13" s="4">
        <v>15</v>
      </c>
      <c r="G13" s="3">
        <f>IFERROR(G12-YP_預け金管理表[[#This Row],[出金額（元）]],-YP_預け金管理表[[#This Row],[出金額（元）]])</f>
        <v>8577.0724494825045</v>
      </c>
      <c r="H13">
        <f>_xlfn.XLOOKUP(EOMONTH(YP_預け金管理表[[#This Row],[発生日]],-1)+1,為替レート表[月初日付],為替レート表[中国人民元],0)</f>
        <v>20.7</v>
      </c>
      <c r="I13" s="14">
        <f>YP_預け金管理表[[#This Row],[出金額（元）]]*YP_預け金管理表[[#This Row],[為替レート]]</f>
        <v>310.5</v>
      </c>
      <c r="J13" s="3">
        <v>173707</v>
      </c>
      <c r="K13" s="13">
        <f>ROUND(YP_預け金管理表[[#This Row],[出金額（元）]]*YP_預け金管理表[[#This Row],[為替レート]],0)</f>
        <v>311</v>
      </c>
      <c r="L13" s="13">
        <f>L12-YP_預け金管理表[[#This Row],[出金額（円）2]]</f>
        <v>173706</v>
      </c>
      <c r="M13">
        <f>ROUND(YP_預け金管理表[[#This Row],[出金額（元）]]*YP_預け金管理表[[#This Row],[為替レート]],0)</f>
        <v>311</v>
      </c>
    </row>
    <row r="14" spans="1:13" x14ac:dyDescent="0.55000000000000004">
      <c r="A14">
        <v>13</v>
      </c>
      <c r="B14" s="1">
        <v>44817</v>
      </c>
      <c r="C14" t="s">
        <v>41</v>
      </c>
      <c r="F14" s="4">
        <v>16</v>
      </c>
      <c r="G14" s="3">
        <f>IFERROR(G13-YP_預け金管理表[[#This Row],[出金額（元）]],-YP_預け金管理表[[#This Row],[出金額（元）]])</f>
        <v>8561.0724494825045</v>
      </c>
      <c r="H14">
        <f>_xlfn.XLOOKUP(EOMONTH(YP_預け金管理表[[#This Row],[発生日]],-1)+1,為替レート表[月初日付],為替レート表[中国人民元],0)</f>
        <v>20.7</v>
      </c>
      <c r="I14" s="14">
        <f>YP_預け金管理表[[#This Row],[出金額（元）]]*YP_預け金管理表[[#This Row],[為替レート]]</f>
        <v>331.2</v>
      </c>
      <c r="J14" s="3">
        <v>173376</v>
      </c>
      <c r="K14" s="13">
        <f>ROUND(YP_預け金管理表[[#This Row],[出金額（元）]]*YP_預け金管理表[[#This Row],[為替レート]],0)</f>
        <v>331</v>
      </c>
      <c r="L14" s="13">
        <f>L13-YP_預け金管理表[[#This Row],[出金額（円）2]]</f>
        <v>173375</v>
      </c>
      <c r="M14">
        <f>ROUND(YP_預け金管理表[[#This Row],[出金額（元）]]*YP_預け金管理表[[#This Row],[為替レート]],0)</f>
        <v>331</v>
      </c>
    </row>
    <row r="15" spans="1:13" x14ac:dyDescent="0.55000000000000004">
      <c r="A15">
        <v>14</v>
      </c>
      <c r="B15" s="1">
        <v>44818</v>
      </c>
      <c r="C15" t="s">
        <v>41</v>
      </c>
      <c r="F15" s="4">
        <v>23</v>
      </c>
      <c r="G15" s="3">
        <f>IFERROR(G14-YP_預け金管理表[[#This Row],[出金額（元）]],-YP_預け金管理表[[#This Row],[出金額（元）]])</f>
        <v>8538.0724494825045</v>
      </c>
      <c r="H15">
        <f>_xlfn.XLOOKUP(EOMONTH(YP_預け金管理表[[#This Row],[発生日]],-1)+1,為替レート表[月初日付],為替レート表[中国人民元],0)</f>
        <v>20.7</v>
      </c>
      <c r="I15" s="14">
        <f>YP_預け金管理表[[#This Row],[出金額（元）]]*YP_預け金管理表[[#This Row],[為替レート]]</f>
        <v>476.09999999999997</v>
      </c>
      <c r="J15" s="3">
        <v>172900</v>
      </c>
      <c r="K15" s="13">
        <f>ROUND(YP_預け金管理表[[#This Row],[出金額（元）]]*YP_預け金管理表[[#This Row],[為替レート]],0)</f>
        <v>476</v>
      </c>
      <c r="L15" s="13">
        <f>L14-YP_預け金管理表[[#This Row],[出金額（円）2]]</f>
        <v>172899</v>
      </c>
      <c r="M15">
        <f>ROUND(YP_預け金管理表[[#This Row],[出金額（元）]]*YP_預け金管理表[[#This Row],[為替レート]],0)</f>
        <v>476</v>
      </c>
    </row>
    <row r="16" spans="1:13" x14ac:dyDescent="0.55000000000000004">
      <c r="A16">
        <v>15</v>
      </c>
      <c r="B16" s="1">
        <v>44818</v>
      </c>
      <c r="C16" t="s">
        <v>41</v>
      </c>
      <c r="F16" s="4">
        <v>40</v>
      </c>
      <c r="G16" s="3">
        <f>IFERROR(G15-YP_預け金管理表[[#This Row],[出金額（元）]],-YP_預け金管理表[[#This Row],[出金額（元）]])</f>
        <v>8498.0724494825045</v>
      </c>
      <c r="H16">
        <f>_xlfn.XLOOKUP(EOMONTH(YP_預け金管理表[[#This Row],[発生日]],-1)+1,為替レート表[月初日付],為替レート表[中国人民元],0)</f>
        <v>20.7</v>
      </c>
      <c r="I16" s="14">
        <f>YP_預け金管理表[[#This Row],[出金額（元）]]*YP_預け金管理表[[#This Row],[為替レート]]</f>
        <v>828</v>
      </c>
      <c r="J16" s="3">
        <v>172072</v>
      </c>
      <c r="K16" s="13">
        <f>ROUND(YP_預け金管理表[[#This Row],[出金額（元）]]*YP_預け金管理表[[#This Row],[為替レート]],0)</f>
        <v>828</v>
      </c>
      <c r="L16" s="13">
        <f>L15-YP_預け金管理表[[#This Row],[出金額（円）2]]</f>
        <v>172071</v>
      </c>
      <c r="M16">
        <f>ROUND(YP_預け金管理表[[#This Row],[出金額（元）]]*YP_預け金管理表[[#This Row],[為替レート]],0)</f>
        <v>828</v>
      </c>
    </row>
    <row r="17" spans="1:13" x14ac:dyDescent="0.55000000000000004">
      <c r="A17">
        <v>16</v>
      </c>
      <c r="B17" s="1">
        <v>44832</v>
      </c>
      <c r="C17" t="s">
        <v>41</v>
      </c>
      <c r="D17" t="s">
        <v>43</v>
      </c>
      <c r="F17" s="4">
        <v>515</v>
      </c>
      <c r="G17" s="3">
        <f>IFERROR(G16-YP_預け金管理表[[#This Row],[出金額（元）]],-YP_預け金管理表[[#This Row],[出金額（元）]])</f>
        <v>7983.0724494825045</v>
      </c>
      <c r="H17">
        <f>_xlfn.XLOOKUP(EOMONTH(YP_預け金管理表[[#This Row],[発生日]],-1)+1,為替レート表[月初日付],為替レート表[中国人民元],0)</f>
        <v>20.7</v>
      </c>
      <c r="I17" s="14">
        <f>YP_預け金管理表[[#This Row],[出金額（元）]]*YP_預け金管理表[[#This Row],[為替レート]]</f>
        <v>10660.5</v>
      </c>
      <c r="J17" s="3">
        <v>161411</v>
      </c>
      <c r="K17" s="13">
        <f>ROUND(YP_預け金管理表[[#This Row],[出金額（元）]]*YP_預け金管理表[[#This Row],[為替レート]],0)</f>
        <v>10661</v>
      </c>
      <c r="L17" s="13">
        <f>L16-YP_預け金管理表[[#This Row],[出金額（円）2]]</f>
        <v>161410</v>
      </c>
      <c r="M17">
        <f>ROUND(YP_預け金管理表[[#This Row],[出金額（元）]]*YP_預け金管理表[[#This Row],[為替レート]],0)</f>
        <v>10661</v>
      </c>
    </row>
    <row r="18" spans="1:13" x14ac:dyDescent="0.55000000000000004">
      <c r="A18">
        <v>17</v>
      </c>
      <c r="B18" s="1">
        <v>44834</v>
      </c>
      <c r="C18" t="s">
        <v>41</v>
      </c>
      <c r="F18" s="4">
        <v>37</v>
      </c>
      <c r="G18" s="3">
        <f>IFERROR(G17-YP_預け金管理表[[#This Row],[出金額（元）]],-YP_預け金管理表[[#This Row],[出金額（元）]])</f>
        <v>7946.0724494825045</v>
      </c>
      <c r="H18">
        <f>_xlfn.XLOOKUP(EOMONTH(YP_預け金管理表[[#This Row],[発生日]],-1)+1,為替レート表[月初日付],為替レート表[中国人民元],0)</f>
        <v>20.7</v>
      </c>
      <c r="I18" s="14">
        <f>YP_預け金管理表[[#This Row],[出金額（元）]]*YP_預け金管理表[[#This Row],[為替レート]]</f>
        <v>765.9</v>
      </c>
      <c r="J18" s="3">
        <v>160645</v>
      </c>
      <c r="K18" s="13">
        <f>ROUND(YP_預け金管理表[[#This Row],[出金額（元）]]*YP_預け金管理表[[#This Row],[為替レート]],0)</f>
        <v>766</v>
      </c>
      <c r="L18" s="13">
        <f>L17-YP_預け金管理表[[#This Row],[出金額（円）2]]</f>
        <v>160644</v>
      </c>
      <c r="M18">
        <f>ROUND(YP_預け金管理表[[#This Row],[出金額（元）]]*YP_預け金管理表[[#This Row],[為替レート]],0)</f>
        <v>766</v>
      </c>
    </row>
    <row r="19" spans="1:13" x14ac:dyDescent="0.55000000000000004">
      <c r="A19">
        <v>18</v>
      </c>
      <c r="B19" s="1">
        <v>44834</v>
      </c>
      <c r="C19" t="s">
        <v>41</v>
      </c>
      <c r="F19" s="4">
        <v>72</v>
      </c>
      <c r="G19" s="3">
        <f>IFERROR(G18-YP_預け金管理表[[#This Row],[出金額（元）]],-YP_預け金管理表[[#This Row],[出金額（元）]])</f>
        <v>7874.0724494825045</v>
      </c>
      <c r="H19">
        <f>_xlfn.XLOOKUP(EOMONTH(YP_預け金管理表[[#This Row],[発生日]],-1)+1,為替レート表[月初日付],為替レート表[中国人民元],0)</f>
        <v>20.7</v>
      </c>
      <c r="I19" s="14">
        <f>YP_預け金管理表[[#This Row],[出金額（元）]]*YP_預け金管理表[[#This Row],[為替レート]]</f>
        <v>1490.3999999999999</v>
      </c>
      <c r="J19" s="3">
        <v>159155</v>
      </c>
      <c r="K19" s="13">
        <f>ROUND(YP_預け金管理表[[#This Row],[出金額（元）]]*YP_預け金管理表[[#This Row],[為替レート]],0)</f>
        <v>1490</v>
      </c>
      <c r="L19" s="13">
        <f>L18-YP_預け金管理表[[#This Row],[出金額（円）2]]</f>
        <v>159154</v>
      </c>
      <c r="M19">
        <f>ROUND(YP_預け金管理表[[#This Row],[出金額（元）]]*YP_預け金管理表[[#This Row],[為替レート]],0)</f>
        <v>1490</v>
      </c>
    </row>
    <row r="20" spans="1:13" x14ac:dyDescent="0.55000000000000004">
      <c r="A20">
        <v>19</v>
      </c>
      <c r="B20" s="1">
        <v>44834</v>
      </c>
      <c r="C20" t="s">
        <v>41</v>
      </c>
      <c r="F20" s="4">
        <v>25</v>
      </c>
      <c r="G20" s="3">
        <f>IFERROR(G19-YP_預け金管理表[[#This Row],[出金額（元）]],-YP_預け金管理表[[#This Row],[出金額（元）]])</f>
        <v>7849.0724494825045</v>
      </c>
      <c r="H20">
        <f>_xlfn.XLOOKUP(EOMONTH(YP_預け金管理表[[#This Row],[発生日]],-1)+1,為替レート表[月初日付],為替レート表[中国人民元],0)</f>
        <v>20.7</v>
      </c>
      <c r="I20" s="14">
        <f>YP_預け金管理表[[#This Row],[出金額（元）]]*YP_預け金管理表[[#This Row],[為替レート]]</f>
        <v>517.5</v>
      </c>
      <c r="J20" s="3">
        <v>158637</v>
      </c>
      <c r="K20" s="13">
        <f>ROUND(YP_預け金管理表[[#This Row],[出金額（元）]]*YP_預け金管理表[[#This Row],[為替レート]],0)</f>
        <v>518</v>
      </c>
      <c r="L20" s="13">
        <f>L19-YP_預け金管理表[[#This Row],[出金額（円）2]]</f>
        <v>158636</v>
      </c>
      <c r="M20">
        <f>ROUND(YP_預け金管理表[[#This Row],[出金額（元）]]*YP_預け金管理表[[#This Row],[為替レート]],0)</f>
        <v>518</v>
      </c>
    </row>
    <row r="21" spans="1:13" x14ac:dyDescent="0.55000000000000004">
      <c r="A21">
        <v>20</v>
      </c>
      <c r="B21" s="1">
        <v>44834</v>
      </c>
      <c r="C21" t="s">
        <v>41</v>
      </c>
      <c r="F21" s="4">
        <v>52</v>
      </c>
      <c r="G21" s="3">
        <f>IFERROR(G20-YP_預け金管理表[[#This Row],[出金額（元）]],-YP_預け金管理表[[#This Row],[出金額（元）]])</f>
        <v>7797.0724494825045</v>
      </c>
      <c r="H21">
        <f>_xlfn.XLOOKUP(EOMONTH(YP_預け金管理表[[#This Row],[発生日]],-1)+1,為替レート表[月初日付],為替レート表[中国人民元],0)</f>
        <v>20.7</v>
      </c>
      <c r="I21" s="14">
        <f>YP_預け金管理表[[#This Row],[出金額（元）]]*YP_預け金管理表[[#This Row],[為替レート]]</f>
        <v>1076.3999999999999</v>
      </c>
      <c r="J21" s="3">
        <v>157561</v>
      </c>
      <c r="K21" s="13">
        <f>ROUND(YP_預け金管理表[[#This Row],[出金額（元）]]*YP_預け金管理表[[#This Row],[為替レート]],0)</f>
        <v>1076</v>
      </c>
      <c r="L21" s="13">
        <f>L20-YP_預け金管理表[[#This Row],[出金額（円）2]]</f>
        <v>157560</v>
      </c>
      <c r="M21">
        <f>ROUND(YP_預け金管理表[[#This Row],[出金額（元）]]*YP_預け金管理表[[#This Row],[為替レート]],0)</f>
        <v>1076</v>
      </c>
    </row>
    <row r="22" spans="1:13" x14ac:dyDescent="0.55000000000000004">
      <c r="A22">
        <v>21</v>
      </c>
      <c r="B22" s="1">
        <v>44842</v>
      </c>
      <c r="C22" t="s">
        <v>41</v>
      </c>
      <c r="D22" t="s">
        <v>44</v>
      </c>
      <c r="F22" s="4">
        <v>-14</v>
      </c>
      <c r="G22" s="3">
        <f>IFERROR(G21-YP_預け金管理表[[#This Row],[出金額（元）]],-YP_預け金管理表[[#This Row],[出金額（元）]])</f>
        <v>7811.0724494825045</v>
      </c>
      <c r="H22">
        <f>_xlfn.XLOOKUP(EOMONTH(YP_預け金管理表[[#This Row],[発生日]],-1)+1,為替レート表[月初日付],為替レート表[中国人民元],0)</f>
        <v>20.76</v>
      </c>
      <c r="I22" s="14">
        <f>YP_預け金管理表[[#This Row],[出金額（元）]]*YP_預け金管理表[[#This Row],[為替レート]]</f>
        <v>-290.64000000000004</v>
      </c>
      <c r="J22" s="3">
        <v>157852</v>
      </c>
      <c r="K22" s="13">
        <f>ROUND(YP_預け金管理表[[#This Row],[出金額（元）]]*YP_預け金管理表[[#This Row],[為替レート]],0)</f>
        <v>-291</v>
      </c>
      <c r="L22" s="13">
        <f>L21-YP_預け金管理表[[#This Row],[出金額（円）2]]</f>
        <v>157851</v>
      </c>
      <c r="M22">
        <f>ROUND(YP_預け金管理表[[#This Row],[出金額（元）]]*YP_預け金管理表[[#This Row],[為替レート]],0)</f>
        <v>-291</v>
      </c>
    </row>
    <row r="23" spans="1:13" x14ac:dyDescent="0.55000000000000004">
      <c r="A23">
        <v>22</v>
      </c>
      <c r="B23" s="1">
        <v>44845</v>
      </c>
      <c r="C23" t="s">
        <v>41</v>
      </c>
      <c r="F23" s="4">
        <v>182</v>
      </c>
      <c r="G23" s="3">
        <f>IFERROR(G22-YP_預け金管理表[[#This Row],[出金額（元）]],-YP_預け金管理表[[#This Row],[出金額（元）]])</f>
        <v>7629.0724494825045</v>
      </c>
      <c r="H23">
        <f>_xlfn.XLOOKUP(EOMONTH(YP_預け金管理表[[#This Row],[発生日]],-1)+1,為替レート表[月初日付],為替レート表[中国人民元],0)</f>
        <v>20.76</v>
      </c>
      <c r="I23" s="14">
        <f>YP_預け金管理表[[#This Row],[出金額（元）]]*YP_預け金管理表[[#This Row],[為替レート]]</f>
        <v>3778.32</v>
      </c>
      <c r="J23" s="3">
        <v>154073</v>
      </c>
      <c r="K23" s="13">
        <f>ROUND(YP_預け金管理表[[#This Row],[出金額（元）]]*YP_預け金管理表[[#This Row],[為替レート]],0)</f>
        <v>3778</v>
      </c>
      <c r="L23" s="13">
        <f>L22-YP_預け金管理表[[#This Row],[出金額（円）2]]</f>
        <v>154073</v>
      </c>
      <c r="M23">
        <f>ROUND(YP_預け金管理表[[#This Row],[出金額（元）]]*YP_預け金管理表[[#This Row],[為替レート]],0)</f>
        <v>3778</v>
      </c>
    </row>
    <row r="24" spans="1:13" x14ac:dyDescent="0.55000000000000004">
      <c r="A24">
        <v>23</v>
      </c>
      <c r="B24" s="1">
        <v>44846</v>
      </c>
      <c r="C24" t="s">
        <v>41</v>
      </c>
      <c r="D24" t="s">
        <v>45</v>
      </c>
      <c r="F24" s="4">
        <v>6</v>
      </c>
      <c r="G24" s="3">
        <f>IFERROR(G23-YP_預け金管理表[[#This Row],[出金額（元）]],-YP_預け金管理表[[#This Row],[出金額（元）]])</f>
        <v>7623.0724494825045</v>
      </c>
      <c r="H24">
        <f>_xlfn.XLOOKUP(EOMONTH(YP_預け金管理表[[#This Row],[発生日]],-1)+1,為替レート表[月初日付],為替レート表[中国人民元],0)</f>
        <v>20.76</v>
      </c>
      <c r="I24" s="14">
        <f>YP_預け金管理表[[#This Row],[出金額（元）]]*YP_預け金管理表[[#This Row],[為替レート]]</f>
        <v>124.56</v>
      </c>
      <c r="J24" s="3">
        <v>153949</v>
      </c>
      <c r="K24" s="13">
        <f>ROUND(YP_預け金管理表[[#This Row],[出金額（元）]]*YP_預け金管理表[[#This Row],[為替レート]],0)</f>
        <v>125</v>
      </c>
      <c r="L24" s="13">
        <f>L23-YP_預け金管理表[[#This Row],[出金額（円）2]]</f>
        <v>153948</v>
      </c>
      <c r="M24">
        <f>ROUND(YP_預け金管理表[[#This Row],[出金額（元）]]*YP_預け金管理表[[#This Row],[為替レート]],0)</f>
        <v>125</v>
      </c>
    </row>
    <row r="25" spans="1:13" x14ac:dyDescent="0.55000000000000004">
      <c r="A25">
        <v>24</v>
      </c>
      <c r="B25" s="1">
        <v>44860</v>
      </c>
      <c r="C25" t="s">
        <v>41</v>
      </c>
      <c r="D25" t="s">
        <v>42</v>
      </c>
      <c r="F25" s="4">
        <v>875</v>
      </c>
      <c r="G25" s="3">
        <f>IFERROR(G24-YP_預け金管理表[[#This Row],[出金額（元）]],-YP_預け金管理表[[#This Row],[出金額（元）]])</f>
        <v>6748.0724494825045</v>
      </c>
      <c r="H25">
        <f>_xlfn.XLOOKUP(EOMONTH(YP_預け金管理表[[#This Row],[発生日]],-1)+1,為替レート表[月初日付],為替レート表[中国人民元],0)</f>
        <v>20.76</v>
      </c>
      <c r="I25" s="14">
        <f>YP_預け金管理表[[#This Row],[出金額（元）]]*YP_預け金管理表[[#This Row],[為替レート]]</f>
        <v>18165</v>
      </c>
      <c r="J25" s="3">
        <v>135784</v>
      </c>
      <c r="K25" s="13">
        <f>ROUND(YP_預け金管理表[[#This Row],[出金額（元）]]*YP_預け金管理表[[#This Row],[為替レート]],0)</f>
        <v>18165</v>
      </c>
      <c r="L25" s="13">
        <f>L24-YP_預け金管理表[[#This Row],[出金額（円）2]]</f>
        <v>135783</v>
      </c>
      <c r="M25">
        <f>ROUND(YP_預け金管理表[[#This Row],[出金額（元）]]*YP_預け金管理表[[#This Row],[為替レート]],0)</f>
        <v>18165</v>
      </c>
    </row>
    <row r="26" spans="1:13" x14ac:dyDescent="0.55000000000000004">
      <c r="A26">
        <v>25</v>
      </c>
      <c r="B26" s="1">
        <v>44860</v>
      </c>
      <c r="C26" t="s">
        <v>41</v>
      </c>
      <c r="F26" s="4">
        <v>257</v>
      </c>
      <c r="G26" s="3">
        <f>IFERROR(G25-YP_預け金管理表[[#This Row],[出金額（元）]],-YP_預け金管理表[[#This Row],[出金額（元）]])</f>
        <v>6491.0724494825045</v>
      </c>
      <c r="H26">
        <f>_xlfn.XLOOKUP(EOMONTH(YP_預け金管理表[[#This Row],[発生日]],-1)+1,為替レート表[月初日付],為替レート表[中国人民元],0)</f>
        <v>20.76</v>
      </c>
      <c r="I26" s="14">
        <f>YP_預け金管理表[[#This Row],[出金額（元）]]*YP_預け金管理表[[#This Row],[為替レート]]</f>
        <v>5335.3200000000006</v>
      </c>
      <c r="J26" s="3">
        <v>130448</v>
      </c>
      <c r="K26" s="13">
        <f>ROUND(YP_預け金管理表[[#This Row],[出金額（元）]]*YP_預け金管理表[[#This Row],[為替レート]],0)</f>
        <v>5335</v>
      </c>
      <c r="L26" s="13">
        <f>L25-YP_預け金管理表[[#This Row],[出金額（円）2]]</f>
        <v>130448</v>
      </c>
      <c r="M26">
        <f>ROUND(YP_預け金管理表[[#This Row],[出金額（元）]]*YP_預け金管理表[[#This Row],[為替レート]],0)</f>
        <v>5335</v>
      </c>
    </row>
    <row r="27" spans="1:13" x14ac:dyDescent="0.55000000000000004">
      <c r="A27">
        <v>26</v>
      </c>
      <c r="B27" s="1">
        <v>44887</v>
      </c>
      <c r="C27" t="s">
        <v>41</v>
      </c>
      <c r="F27" s="4">
        <v>290</v>
      </c>
      <c r="G27" s="3">
        <f>IFERROR(G26-YP_預け金管理表[[#This Row],[出金額（元）]],-YP_預け金管理表[[#This Row],[出金額（元）]])</f>
        <v>6201.0724494825045</v>
      </c>
      <c r="H27">
        <f>_xlfn.XLOOKUP(EOMONTH(YP_預け金管理表[[#This Row],[発生日]],-1)+1,為替レート表[月初日付],為替レート表[中国人民元],0)</f>
        <v>20.11</v>
      </c>
      <c r="I27" s="14">
        <f>YP_預け金管理表[[#This Row],[出金額（元）]]*YP_預け金管理表[[#This Row],[為替レート]]</f>
        <v>5831.9</v>
      </c>
      <c r="J27" s="3">
        <v>124617</v>
      </c>
      <c r="K27" s="13">
        <f>ROUND(YP_預け金管理表[[#This Row],[出金額（元）]]*YP_預け金管理表[[#This Row],[為替レート]],0)</f>
        <v>5832</v>
      </c>
      <c r="L27" s="13">
        <f>L26-YP_預け金管理表[[#This Row],[出金額（円）2]]</f>
        <v>124616</v>
      </c>
      <c r="M27">
        <f>ROUND(YP_預け金管理表[[#This Row],[出金額（元）]]*YP_預け金管理表[[#This Row],[為替レート]],0)</f>
        <v>5832</v>
      </c>
    </row>
    <row r="28" spans="1:13" x14ac:dyDescent="0.55000000000000004">
      <c r="A28">
        <v>27</v>
      </c>
      <c r="B28" s="1">
        <v>44887</v>
      </c>
      <c r="C28" t="s">
        <v>41</v>
      </c>
      <c r="F28" s="4">
        <v>24</v>
      </c>
      <c r="G28" s="3">
        <f>IFERROR(G27-YP_預け金管理表[[#This Row],[出金額（元）]],-YP_預け金管理表[[#This Row],[出金額（元）]])</f>
        <v>6177.0724494825045</v>
      </c>
      <c r="H28">
        <f>_xlfn.XLOOKUP(EOMONTH(YP_預け金管理表[[#This Row],[発生日]],-1)+1,為替レート表[月初日付],為替レート表[中国人民元],0)</f>
        <v>20.11</v>
      </c>
      <c r="I28" s="14">
        <f>YP_預け金管理表[[#This Row],[出金額（元）]]*YP_預け金管理表[[#This Row],[為替レート]]</f>
        <v>482.64</v>
      </c>
      <c r="J28" s="3">
        <v>124134</v>
      </c>
      <c r="K28" s="13">
        <f>ROUND(YP_預け金管理表[[#This Row],[出金額（元）]]*YP_預け金管理表[[#This Row],[為替レート]],0)</f>
        <v>483</v>
      </c>
      <c r="L28" s="13">
        <f>L27-YP_預け金管理表[[#This Row],[出金額（円）2]]</f>
        <v>124133</v>
      </c>
      <c r="M28">
        <f>ROUND(YP_預け金管理表[[#This Row],[出金額（元）]]*YP_預け金管理表[[#This Row],[為替レート]],0)</f>
        <v>483</v>
      </c>
    </row>
    <row r="29" spans="1:13" x14ac:dyDescent="0.55000000000000004">
      <c r="A29">
        <v>28</v>
      </c>
      <c r="B29" s="1">
        <v>44887</v>
      </c>
      <c r="C29" t="s">
        <v>41</v>
      </c>
      <c r="F29" s="4">
        <v>44</v>
      </c>
      <c r="G29" s="3">
        <f>IFERROR(G28-YP_預け金管理表[[#This Row],[出金額（元）]],-YP_預け金管理表[[#This Row],[出金額（元）]])</f>
        <v>6133.0724494825045</v>
      </c>
      <c r="H29">
        <f>_xlfn.XLOOKUP(EOMONTH(YP_預け金管理表[[#This Row],[発生日]],-1)+1,為替レート表[月初日付],為替レート表[中国人民元],0)</f>
        <v>20.11</v>
      </c>
      <c r="I29" s="14">
        <f>YP_預け金管理表[[#This Row],[出金額（元）]]*YP_預け金管理表[[#This Row],[為替レート]]</f>
        <v>884.83999999999992</v>
      </c>
      <c r="J29" s="3">
        <v>123249</v>
      </c>
      <c r="K29" s="13">
        <f>ROUND(YP_預け金管理表[[#This Row],[出金額（元）]]*YP_預け金管理表[[#This Row],[為替レート]],0)</f>
        <v>885</v>
      </c>
      <c r="L29" s="13">
        <f>L28-YP_預け金管理表[[#This Row],[出金額（円）2]]</f>
        <v>123248</v>
      </c>
      <c r="M29">
        <f>ROUND(YP_預け金管理表[[#This Row],[出金額（元）]]*YP_預け金管理表[[#This Row],[為替レート]],0)</f>
        <v>885</v>
      </c>
    </row>
    <row r="30" spans="1:13" x14ac:dyDescent="0.55000000000000004">
      <c r="A30">
        <v>29</v>
      </c>
      <c r="B30" s="1">
        <v>44887</v>
      </c>
      <c r="C30" t="s">
        <v>41</v>
      </c>
      <c r="F30" s="4">
        <v>306</v>
      </c>
      <c r="G30" s="3">
        <f>IFERROR(G29-YP_預け金管理表[[#This Row],[出金額（元）]],-YP_預け金管理表[[#This Row],[出金額（元）]])</f>
        <v>5827.0724494825045</v>
      </c>
      <c r="H30">
        <f>_xlfn.XLOOKUP(EOMONTH(YP_預け金管理表[[#This Row],[発生日]],-1)+1,為替レート表[月初日付],為替レート表[中国人民元],0)</f>
        <v>20.11</v>
      </c>
      <c r="I30" s="14">
        <f>YP_預け金管理表[[#This Row],[出金額（元）]]*YP_預け金管理表[[#This Row],[為替レート]]</f>
        <v>6153.66</v>
      </c>
      <c r="J30" s="3">
        <v>117095</v>
      </c>
      <c r="K30" s="13">
        <f>ROUND(YP_預け金管理表[[#This Row],[出金額（元）]]*YP_預け金管理表[[#This Row],[為替レート]],0)</f>
        <v>6154</v>
      </c>
      <c r="L30" s="13">
        <f>L29-YP_預け金管理表[[#This Row],[出金額（円）2]]</f>
        <v>117094</v>
      </c>
      <c r="M30">
        <f>ROUND(YP_預け金管理表[[#This Row],[出金額（元）]]*YP_預け金管理表[[#This Row],[為替レート]],0)</f>
        <v>6154</v>
      </c>
    </row>
    <row r="31" spans="1:13" x14ac:dyDescent="0.55000000000000004">
      <c r="A31">
        <v>30</v>
      </c>
      <c r="B31" s="1">
        <v>44887</v>
      </c>
      <c r="C31" t="s">
        <v>41</v>
      </c>
      <c r="F31" s="4">
        <v>288</v>
      </c>
      <c r="G31" s="3">
        <f>IFERROR(G30-YP_預け金管理表[[#This Row],[出金額（元）]],-YP_預け金管理表[[#This Row],[出金額（元）]])</f>
        <v>5539.0724494825045</v>
      </c>
      <c r="H31">
        <f>_xlfn.XLOOKUP(EOMONTH(YP_預け金管理表[[#This Row],[発生日]],-1)+1,為替レート表[月初日付],為替レート表[中国人民元],0)</f>
        <v>20.11</v>
      </c>
      <c r="I31" s="14">
        <f>YP_預け金管理表[[#This Row],[出金額（元）]]*YP_預け金管理表[[#This Row],[為替レート]]</f>
        <v>5791.68</v>
      </c>
      <c r="J31" s="3">
        <v>111304</v>
      </c>
      <c r="K31" s="13">
        <f>ROUND(YP_預け金管理表[[#This Row],[出金額（元）]]*YP_預け金管理表[[#This Row],[為替レート]],0)</f>
        <v>5792</v>
      </c>
      <c r="L31" s="13">
        <f>L30-YP_預け金管理表[[#This Row],[出金額（円）2]]</f>
        <v>111302</v>
      </c>
      <c r="M31">
        <f>ROUND(YP_預け金管理表[[#This Row],[出金額（元）]]*YP_預け金管理表[[#This Row],[為替レート]],0)</f>
        <v>5792</v>
      </c>
    </row>
    <row r="32" spans="1:13" x14ac:dyDescent="0.55000000000000004">
      <c r="A32">
        <v>31</v>
      </c>
      <c r="B32" s="1">
        <v>44887</v>
      </c>
      <c r="C32" t="s">
        <v>41</v>
      </c>
      <c r="F32" s="4">
        <v>134</v>
      </c>
      <c r="G32" s="3">
        <f>IFERROR(G31-YP_預け金管理表[[#This Row],[出金額（元）]],-YP_預け金管理表[[#This Row],[出金額（元）]])</f>
        <v>5405.0724494825045</v>
      </c>
      <c r="H32">
        <f>_xlfn.XLOOKUP(EOMONTH(YP_預け金管理表[[#This Row],[発生日]],-1)+1,為替レート表[月初日付],為替レート表[中国人民元],0)</f>
        <v>20.11</v>
      </c>
      <c r="I32" s="14">
        <f>YP_預け金管理表[[#This Row],[出金額（元）]]*YP_預け金管理表[[#This Row],[為替レート]]</f>
        <v>2694.74</v>
      </c>
      <c r="J32" s="3">
        <v>108609</v>
      </c>
      <c r="K32" s="13">
        <f>ROUND(YP_預け金管理表[[#This Row],[出金額（元）]]*YP_預け金管理表[[#This Row],[為替レート]],0)</f>
        <v>2695</v>
      </c>
      <c r="L32" s="13">
        <f>L31-YP_預け金管理表[[#This Row],[出金額（円）2]]</f>
        <v>108607</v>
      </c>
      <c r="M32">
        <f>ROUND(YP_預け金管理表[[#This Row],[出金額（元）]]*YP_預け金管理表[[#This Row],[為替レート]],0)</f>
        <v>2695</v>
      </c>
    </row>
    <row r="33" spans="1:13" x14ac:dyDescent="0.55000000000000004">
      <c r="A33">
        <v>32</v>
      </c>
      <c r="B33" s="1">
        <v>44887</v>
      </c>
      <c r="C33" t="s">
        <v>41</v>
      </c>
      <c r="F33" s="4">
        <v>60</v>
      </c>
      <c r="G33" s="3">
        <f>IFERROR(G32-YP_預け金管理表[[#This Row],[出金額（元）]],-YP_預け金管理表[[#This Row],[出金額（元）]])</f>
        <v>5345.0724494825045</v>
      </c>
      <c r="H33">
        <f>_xlfn.XLOOKUP(EOMONTH(YP_預け金管理表[[#This Row],[発生日]],-1)+1,為替レート表[月初日付],為替レート表[中国人民元],0)</f>
        <v>20.11</v>
      </c>
      <c r="I33" s="14">
        <f>YP_預け金管理表[[#This Row],[出金額（元）]]*YP_預け金管理表[[#This Row],[為替レート]]</f>
        <v>1206.5999999999999</v>
      </c>
      <c r="J33" s="3">
        <v>107402</v>
      </c>
      <c r="K33" s="13">
        <f>ROUND(YP_預け金管理表[[#This Row],[出金額（元）]]*YP_預け金管理表[[#This Row],[為替レート]],0)</f>
        <v>1207</v>
      </c>
      <c r="L33" s="13">
        <f>L32-YP_預け金管理表[[#This Row],[出金額（円）2]]</f>
        <v>107400</v>
      </c>
      <c r="M33">
        <f>ROUND(YP_預け金管理表[[#This Row],[出金額（元）]]*YP_預け金管理表[[#This Row],[為替レート]],0)</f>
        <v>1207</v>
      </c>
    </row>
    <row r="34" spans="1:13" x14ac:dyDescent="0.55000000000000004">
      <c r="A34">
        <v>33</v>
      </c>
      <c r="B34" s="1">
        <v>44887</v>
      </c>
      <c r="C34" t="s">
        <v>41</v>
      </c>
      <c r="F34" s="4">
        <v>38</v>
      </c>
      <c r="G34" s="3">
        <f>IFERROR(G33-YP_預け金管理表[[#This Row],[出金額（元）]],-YP_預け金管理表[[#This Row],[出金額（元）]])</f>
        <v>5307.0724494825045</v>
      </c>
      <c r="H34">
        <f>_xlfn.XLOOKUP(EOMONTH(YP_預け金管理表[[#This Row],[発生日]],-1)+1,為替レート表[月初日付],為替レート表[中国人民元],0)</f>
        <v>20.11</v>
      </c>
      <c r="I34" s="14">
        <f>YP_預け金管理表[[#This Row],[出金額（元）]]*YP_預け金管理表[[#This Row],[為替レート]]</f>
        <v>764.18</v>
      </c>
      <c r="J34" s="3">
        <v>106638</v>
      </c>
      <c r="K34" s="13">
        <f>ROUND(YP_預け金管理表[[#This Row],[出金額（元）]]*YP_預け金管理表[[#This Row],[為替レート]],0)</f>
        <v>764</v>
      </c>
      <c r="L34" s="13">
        <f>L33-YP_預け金管理表[[#This Row],[出金額（円）2]]</f>
        <v>106636</v>
      </c>
      <c r="M34">
        <f>ROUND(YP_預け金管理表[[#This Row],[出金額（元）]]*YP_預け金管理表[[#This Row],[為替レート]],0)</f>
        <v>764</v>
      </c>
    </row>
    <row r="35" spans="1:13" x14ac:dyDescent="0.55000000000000004">
      <c r="A35">
        <v>34</v>
      </c>
      <c r="B35" s="1">
        <v>44888</v>
      </c>
      <c r="C35" t="s">
        <v>41</v>
      </c>
      <c r="F35" s="4">
        <v>203</v>
      </c>
      <c r="G35" s="3">
        <f>IFERROR(G34-YP_預け金管理表[[#This Row],[出金額（元）]],-YP_預け金管理表[[#This Row],[出金額（元）]])</f>
        <v>5104.0724494825045</v>
      </c>
      <c r="H35">
        <f>_xlfn.XLOOKUP(EOMONTH(YP_預け金管理表[[#This Row],[発生日]],-1)+1,為替レート表[月初日付],為替レート表[中国人民元],0)</f>
        <v>20.11</v>
      </c>
      <c r="I35" s="14">
        <f>YP_預け金管理表[[#This Row],[出金額（元）]]*YP_預け金管理表[[#This Row],[為替レート]]</f>
        <v>4082.33</v>
      </c>
      <c r="J35" s="3">
        <v>102556</v>
      </c>
      <c r="K35" s="13">
        <f>ROUND(YP_預け金管理表[[#This Row],[出金額（元）]]*YP_預け金管理表[[#This Row],[為替レート]],0)</f>
        <v>4082</v>
      </c>
      <c r="L35" s="13">
        <f>L34-YP_預け金管理表[[#This Row],[出金額（円）2]]</f>
        <v>102554</v>
      </c>
      <c r="M35">
        <f>ROUND(YP_預け金管理表[[#This Row],[出金額（元）]]*YP_預け金管理表[[#This Row],[為替レート]],0)</f>
        <v>4082</v>
      </c>
    </row>
    <row r="36" spans="1:13" x14ac:dyDescent="0.55000000000000004">
      <c r="A36">
        <v>35</v>
      </c>
      <c r="B36" s="1">
        <v>44902</v>
      </c>
      <c r="C36" t="s">
        <v>41</v>
      </c>
      <c r="D36" t="s">
        <v>46</v>
      </c>
      <c r="F36" s="4">
        <v>6</v>
      </c>
      <c r="G36" s="3">
        <f>IFERROR(G35-YP_預け金管理表[[#This Row],[出金額（元）]],-YP_預け金管理表[[#This Row],[出金額（元）]])</f>
        <v>5098.0724494825045</v>
      </c>
      <c r="H36">
        <f>_xlfn.XLOOKUP(EOMONTH(YP_預け金管理表[[#This Row],[発生日]],-1)+1,為替レート表[月初日付],為替レート表[中国人民元],0)</f>
        <v>19.64</v>
      </c>
      <c r="I36" s="14">
        <f>YP_預け金管理表[[#This Row],[出金額（元）]]*YP_預け金管理表[[#This Row],[為替レート]]</f>
        <v>117.84</v>
      </c>
      <c r="J36" s="3">
        <v>102438</v>
      </c>
      <c r="K36" s="13">
        <f>ROUND(YP_預け金管理表[[#This Row],[出金額（元）]]*YP_預け金管理表[[#This Row],[為替レート]],0)</f>
        <v>118</v>
      </c>
      <c r="L36" s="13">
        <f>L35-YP_預け金管理表[[#This Row],[出金額（円）2]]</f>
        <v>102436</v>
      </c>
      <c r="M36">
        <f>ROUND(YP_預け金管理表[[#This Row],[出金額（元）]]*YP_預け金管理表[[#This Row],[為替レート]],0)</f>
        <v>118</v>
      </c>
    </row>
    <row r="37" spans="1:13" x14ac:dyDescent="0.55000000000000004">
      <c r="A37">
        <v>36</v>
      </c>
      <c r="B37" s="1">
        <v>44908</v>
      </c>
      <c r="C37" t="s">
        <v>41</v>
      </c>
      <c r="D37" t="s">
        <v>47</v>
      </c>
      <c r="F37" s="4">
        <v>1120</v>
      </c>
      <c r="G37" s="3">
        <f>IFERROR(G36-YP_預け金管理表[[#This Row],[出金額（元）]],-YP_預け金管理表[[#This Row],[出金額（元）]])</f>
        <v>3978.0724494825045</v>
      </c>
      <c r="H37">
        <f>_xlfn.XLOOKUP(EOMONTH(YP_預け金管理表[[#This Row],[発生日]],-1)+1,為替レート表[月初日付],為替レート表[中国人民元],0)</f>
        <v>19.64</v>
      </c>
      <c r="I37" s="14">
        <f>YP_預け金管理表[[#This Row],[出金額（元）]]*YP_預け金管理表[[#This Row],[為替レート]]</f>
        <v>21996.799999999999</v>
      </c>
      <c r="J37" s="3">
        <v>80441</v>
      </c>
      <c r="K37" s="13">
        <f>ROUND(YP_預け金管理表[[#This Row],[出金額（元）]]*YP_預け金管理表[[#This Row],[為替レート]],0)</f>
        <v>21997</v>
      </c>
      <c r="L37" s="13">
        <f>L36-YP_預け金管理表[[#This Row],[出金額（円）2]]</f>
        <v>80439</v>
      </c>
      <c r="M37">
        <f>ROUND(YP_預け金管理表[[#This Row],[出金額（元）]]*YP_預け金管理表[[#This Row],[為替レート]],0)</f>
        <v>21997</v>
      </c>
    </row>
    <row r="38" spans="1:13" x14ac:dyDescent="0.55000000000000004">
      <c r="A38">
        <v>37</v>
      </c>
      <c r="B38" s="1">
        <v>44923</v>
      </c>
      <c r="C38" t="s">
        <v>48</v>
      </c>
      <c r="E38" t="s">
        <v>49</v>
      </c>
      <c r="F38" s="4">
        <v>552</v>
      </c>
      <c r="G38" s="3">
        <f>IFERROR(G37-YP_預け金管理表[[#This Row],[出金額（元）]],-YP_預け金管理表[[#This Row],[出金額（元）]])</f>
        <v>3426.0724494825045</v>
      </c>
      <c r="H38">
        <f>_xlfn.XLOOKUP(EOMONTH(YP_預け金管理表[[#This Row],[発生日]],-1)+1,為替レート表[月初日付],為替レート表[中国人民元],0)</f>
        <v>19.64</v>
      </c>
      <c r="I38" s="6">
        <f>YP_預け金管理表[[#This Row],[出金額（元）]]*YP_預け金管理表[[#This Row],[為替レート]]</f>
        <v>10841.28</v>
      </c>
      <c r="J38" s="3">
        <v>69600</v>
      </c>
      <c r="K38" s="13">
        <f>ROUND(YP_預け金管理表[[#This Row],[出金額（元）]]*YP_預け金管理表[[#This Row],[為替レート]],0)</f>
        <v>10841</v>
      </c>
      <c r="L38" s="13">
        <f>L37-YP_預け金管理表[[#This Row],[出金額（円）2]]</f>
        <v>69598</v>
      </c>
      <c r="M38">
        <f>ROUND(YP_預け金管理表[[#This Row],[出金額（元）]]*YP_預け金管理表[[#This Row],[為替レート]],0)</f>
        <v>10841</v>
      </c>
    </row>
    <row r="39" spans="1:13" x14ac:dyDescent="0.55000000000000004">
      <c r="A39">
        <v>38</v>
      </c>
      <c r="B39" s="1">
        <v>44942</v>
      </c>
      <c r="C39" t="s">
        <v>50</v>
      </c>
      <c r="E39" t="s">
        <v>49</v>
      </c>
      <c r="F39" s="4">
        <v>175</v>
      </c>
      <c r="G39" s="3">
        <f>IFERROR(G38-YP_預け金管理表[[#This Row],[出金額（元）]],-YP_預け金管理表[[#This Row],[出金額（元）]])</f>
        <v>3251.0724494825045</v>
      </c>
      <c r="H39">
        <f>_xlfn.XLOOKUP(EOMONTH(YP_預け金管理表[[#This Row],[発生日]],-1)+1,為替レート表[月初日付],為替レート表[中国人民元],0)</f>
        <v>19.52</v>
      </c>
      <c r="I39" s="6">
        <f>YP_預け金管理表[[#This Row],[出金額（元）]]*YP_預け金管理表[[#This Row],[為替レート]]</f>
        <v>3416</v>
      </c>
      <c r="J39" s="3">
        <v>66184</v>
      </c>
      <c r="K39" s="13">
        <f>ROUND(YP_預け金管理表[[#This Row],[出金額（元）]]*YP_預け金管理表[[#This Row],[為替レート]],0)</f>
        <v>3416</v>
      </c>
      <c r="L39" s="13">
        <f>L38-YP_預け金管理表[[#This Row],[出金額（円）2]]</f>
        <v>66182</v>
      </c>
      <c r="M39">
        <f>ROUND(YP_預け金管理表[[#This Row],[出金額（元）]]*YP_預け金管理表[[#This Row],[為替レート]],0)</f>
        <v>3416</v>
      </c>
    </row>
    <row r="40" spans="1:13" x14ac:dyDescent="0.55000000000000004">
      <c r="A40">
        <v>39</v>
      </c>
      <c r="B40" s="1">
        <v>44943</v>
      </c>
      <c r="C40" t="s">
        <v>30</v>
      </c>
      <c r="D40" t="s">
        <v>51</v>
      </c>
      <c r="E40" t="s">
        <v>49</v>
      </c>
      <c r="F40" s="4">
        <v>555</v>
      </c>
      <c r="G40" s="3">
        <f>IFERROR(G39-YP_預け金管理表[[#This Row],[出金額（元）]],-YP_預け金管理表[[#This Row],[出金額（元）]])</f>
        <v>2696.0724494825045</v>
      </c>
      <c r="H40">
        <f>_xlfn.XLOOKUP(EOMONTH(YP_預け金管理表[[#This Row],[発生日]],-1)+1,為替レート表[月初日付],為替レート表[中国人民元],0)</f>
        <v>19.52</v>
      </c>
      <c r="I40" s="6">
        <f>YP_預け金管理表[[#This Row],[出金額（元）]]*YP_預け金管理表[[#This Row],[為替レート]]</f>
        <v>10833.6</v>
      </c>
      <c r="J40" s="3">
        <v>55350</v>
      </c>
      <c r="K40" s="13">
        <f>ROUND(YP_預け金管理表[[#This Row],[出金額（元）]]*YP_預け金管理表[[#This Row],[為替レート]],0)</f>
        <v>10834</v>
      </c>
      <c r="L40" s="13">
        <f>L39-YP_預け金管理表[[#This Row],[出金額（円）2]]</f>
        <v>55348</v>
      </c>
      <c r="M40">
        <f>ROUND(YP_預け金管理表[[#This Row],[出金額（元）]]*YP_預け金管理表[[#This Row],[為替レート]],0)</f>
        <v>10834</v>
      </c>
    </row>
    <row r="41" spans="1:13" x14ac:dyDescent="0.55000000000000004">
      <c r="A41">
        <v>40</v>
      </c>
      <c r="B41" s="1">
        <v>44986</v>
      </c>
      <c r="C41" t="s">
        <v>48</v>
      </c>
      <c r="E41" t="s">
        <v>52</v>
      </c>
      <c r="F41" s="4">
        <v>625</v>
      </c>
      <c r="G41" s="3">
        <f>IFERROR(G40-YP_預け金管理表[[#This Row],[出金額（元）]],-YP_預け金管理表[[#This Row],[出金額（元）]])</f>
        <v>2071.0724494825045</v>
      </c>
      <c r="H41">
        <f>_xlfn.XLOOKUP(EOMONTH(YP_預け金管理表[[#This Row],[発生日]],-1)+1,為替レート表[月初日付],為替レート表[中国人民元],0)</f>
        <v>19.7</v>
      </c>
      <c r="I41" s="6">
        <f>YP_預け金管理表[[#This Row],[出金額（元）]]*YP_預け金管理表[[#This Row],[為替レート]]</f>
        <v>12312.5</v>
      </c>
      <c r="J41" s="3">
        <v>43038</v>
      </c>
      <c r="K41" s="13">
        <f>ROUND(YP_預け金管理表[[#This Row],[出金額（元）]]*YP_預け金管理表[[#This Row],[為替レート]],0)</f>
        <v>12313</v>
      </c>
      <c r="L41" s="13">
        <f>L40-YP_預け金管理表[[#This Row],[出金額（円）2]]</f>
        <v>43035</v>
      </c>
      <c r="M41">
        <f>ROUND(YP_預け金管理表[[#This Row],[出金額（元）]]*YP_預け金管理表[[#This Row],[為替レート]],0)</f>
        <v>12313</v>
      </c>
    </row>
    <row r="42" spans="1:13" x14ac:dyDescent="0.55000000000000004">
      <c r="A42">
        <v>41</v>
      </c>
      <c r="B42" s="1">
        <v>45013</v>
      </c>
      <c r="C42" t="s">
        <v>30</v>
      </c>
      <c r="D42" t="s">
        <v>53</v>
      </c>
      <c r="E42" t="s">
        <v>52</v>
      </c>
      <c r="F42" s="4">
        <v>595</v>
      </c>
      <c r="G42" s="3">
        <f>IFERROR(G41-YP_預け金管理表[[#This Row],[出金額（元）]],-YP_預け金管理表[[#This Row],[出金額（元）]])</f>
        <v>1476.0724494825045</v>
      </c>
      <c r="H42">
        <f>_xlfn.XLOOKUP(EOMONTH(YP_預け金管理表[[#This Row],[発生日]],-1)+1,為替レート表[月初日付],為替レート表[中国人民元],0)</f>
        <v>19.7</v>
      </c>
      <c r="I42" s="6">
        <f>YP_預け金管理表[[#This Row],[出金額（元）]]*YP_預け金管理表[[#This Row],[為替レート]]</f>
        <v>11721.5</v>
      </c>
      <c r="J42" s="3">
        <v>31316</v>
      </c>
      <c r="K42" s="13">
        <f>ROUND(YP_預け金管理表[[#This Row],[出金額（元）]]*YP_預け金管理表[[#This Row],[為替レート]],0)</f>
        <v>11722</v>
      </c>
      <c r="L42" s="13">
        <f>L41-YP_預け金管理表[[#This Row],[出金額（円）2]]</f>
        <v>31313</v>
      </c>
      <c r="M42">
        <f>ROUND(YP_預け金管理表[[#This Row],[出金額（元）]]*YP_預け金管理表[[#This Row],[為替レート]],0)</f>
        <v>11722</v>
      </c>
    </row>
    <row r="43" spans="1:13" x14ac:dyDescent="0.55000000000000004">
      <c r="A43">
        <v>42</v>
      </c>
      <c r="B43" s="1">
        <v>45015</v>
      </c>
      <c r="C43" t="s">
        <v>54</v>
      </c>
      <c r="D43" t="s">
        <v>55</v>
      </c>
      <c r="E43" t="s">
        <v>52</v>
      </c>
      <c r="F43" s="4">
        <v>40</v>
      </c>
      <c r="G43" s="3">
        <f>IFERROR(G42-YP_預け金管理表[[#This Row],[出金額（元）]],-YP_預け金管理表[[#This Row],[出金額（元）]])</f>
        <v>1436.0724494825045</v>
      </c>
      <c r="H43">
        <f>_xlfn.XLOOKUP(EOMONTH(YP_預け金管理表[[#This Row],[発生日]],-1)+1,為替レート表[月初日付],為替レート表[中国人民元],0)</f>
        <v>19.7</v>
      </c>
      <c r="I43" s="6">
        <f>YP_預け金管理表[[#This Row],[出金額（元）]]*YP_預け金管理表[[#This Row],[為替レート]]</f>
        <v>788</v>
      </c>
      <c r="J43" s="3">
        <v>30528</v>
      </c>
      <c r="K43" s="13">
        <f>ROUND(YP_預け金管理表[[#This Row],[出金額（元）]]*YP_預け金管理表[[#This Row],[為替レート]],0)</f>
        <v>788</v>
      </c>
      <c r="L43" s="13">
        <f>L42-YP_預け金管理表[[#This Row],[出金額（円）2]]</f>
        <v>30525</v>
      </c>
      <c r="M43">
        <f>ROUND(YP_預け金管理表[[#This Row],[出金額（元）]]*YP_預け金管理表[[#This Row],[為替レート]],0)</f>
        <v>788</v>
      </c>
    </row>
    <row r="44" spans="1:13" x14ac:dyDescent="0.55000000000000004">
      <c r="A44">
        <v>43</v>
      </c>
      <c r="B44" s="1">
        <v>45015</v>
      </c>
      <c r="C44" t="s">
        <v>50</v>
      </c>
      <c r="D44" t="s">
        <v>56</v>
      </c>
      <c r="E44" t="s">
        <v>52</v>
      </c>
      <c r="F44" s="4">
        <v>200</v>
      </c>
      <c r="G44" s="3">
        <f>IFERROR(G43-YP_預け金管理表[[#This Row],[出金額（元）]],-YP_預け金管理表[[#This Row],[出金額（元）]])</f>
        <v>1236.0724494825045</v>
      </c>
      <c r="H44">
        <f>_xlfn.XLOOKUP(EOMONTH(YP_預け金管理表[[#This Row],[発生日]],-1)+1,為替レート表[月初日付],為替レート表[中国人民元],0)</f>
        <v>19.7</v>
      </c>
      <c r="I44" s="6">
        <f>YP_預け金管理表[[#This Row],[出金額（元）]]*YP_預け金管理表[[#This Row],[為替レート]]</f>
        <v>3940</v>
      </c>
      <c r="J44" s="3">
        <v>26588</v>
      </c>
      <c r="K44" s="13">
        <f>ROUND(YP_預け金管理表[[#This Row],[出金額（元）]]*YP_預け金管理表[[#This Row],[為替レート]],0)</f>
        <v>3940</v>
      </c>
      <c r="L44" s="13">
        <f>L43-YP_預け金管理表[[#This Row],[出金額（円）2]]</f>
        <v>26585</v>
      </c>
      <c r="M44">
        <f>ROUND(YP_預け金管理表[[#This Row],[出金額（元）]]*YP_預け金管理表[[#This Row],[為替レート]],0)</f>
        <v>3940</v>
      </c>
    </row>
    <row r="45" spans="1:13" x14ac:dyDescent="0.55000000000000004">
      <c r="A45">
        <v>44</v>
      </c>
      <c r="B45" s="1">
        <v>45022</v>
      </c>
      <c r="C45" t="s">
        <v>48</v>
      </c>
      <c r="E45" t="s">
        <v>57</v>
      </c>
      <c r="F45" s="4">
        <v>143</v>
      </c>
      <c r="G45" s="3">
        <f>IFERROR(G44-YP_預け金管理表[[#This Row],[出金額（元）]],-YP_預け金管理表[[#This Row],[出金額（元）]])</f>
        <v>1093.0724494825045</v>
      </c>
      <c r="H45">
        <f>_xlfn.XLOOKUP(EOMONTH(YP_預け金管理表[[#This Row],[発生日]],-1)+1,為替レート表[月初日付],為替レート表[中国人民元],0)</f>
        <v>19.66</v>
      </c>
      <c r="I45" s="6">
        <f>YP_預け金管理表[[#This Row],[出金額（元）]]*YP_預け金管理表[[#This Row],[為替レート]]</f>
        <v>2811.38</v>
      </c>
      <c r="J45" s="3">
        <v>23777</v>
      </c>
      <c r="K45" s="13">
        <f>ROUND(YP_預け金管理表[[#This Row],[出金額（元）]]*YP_預け金管理表[[#This Row],[為替レート]],0)</f>
        <v>2811</v>
      </c>
      <c r="L45" s="13">
        <f>L44-YP_預け金管理表[[#This Row],[出金額（円）2]]</f>
        <v>23774</v>
      </c>
      <c r="M45">
        <f>ROUND(YP_預け金管理表[[#This Row],[出金額（元）]]*YP_預け金管理表[[#This Row],[為替レート]],0)</f>
        <v>2811</v>
      </c>
    </row>
    <row r="46" spans="1:13" x14ac:dyDescent="0.55000000000000004">
      <c r="A46">
        <v>45</v>
      </c>
      <c r="B46" s="1">
        <v>45029</v>
      </c>
      <c r="C46" t="s">
        <v>16</v>
      </c>
      <c r="F46" s="4">
        <f>-400000/19.66</f>
        <v>-20345.87995930824</v>
      </c>
      <c r="G46" s="3">
        <f>IFERROR(G45-YP_預け金管理表[[#This Row],[出金額（元）]],-YP_預け金管理表[[#This Row],[出金額（元）]])</f>
        <v>21438.952408790745</v>
      </c>
      <c r="H46">
        <f>_xlfn.XLOOKUP(EOMONTH(YP_預け金管理表[[#This Row],[発生日]],-1)+1,為替レート表[月初日付],為替レート表[中国人民元],0)</f>
        <v>19.66</v>
      </c>
      <c r="I46" s="6">
        <f>YP_預け金管理表[[#This Row],[出金額（元）]]*YP_預け金管理表[[#This Row],[為替レート]]</f>
        <v>-400000</v>
      </c>
      <c r="J46" s="3">
        <v>423777</v>
      </c>
      <c r="K46" s="13">
        <f>ROUND(YP_預け金管理表[[#This Row],[出金額（元）]]*YP_預け金管理表[[#This Row],[為替レート]],0)</f>
        <v>-400000</v>
      </c>
      <c r="L46" s="13">
        <f>L45-YP_預け金管理表[[#This Row],[出金額（円）2]]</f>
        <v>423774</v>
      </c>
      <c r="M46">
        <f>ROUND(YP_預け金管理表[[#This Row],[出金額（元）]]*YP_預け金管理表[[#This Row],[為替レート]],0)</f>
        <v>-400000</v>
      </c>
    </row>
    <row r="47" spans="1:13" x14ac:dyDescent="0.55000000000000004">
      <c r="A47">
        <v>46</v>
      </c>
      <c r="B47" s="1">
        <v>45034</v>
      </c>
      <c r="C47" t="s">
        <v>48</v>
      </c>
      <c r="E47" t="s">
        <v>57</v>
      </c>
      <c r="F47" s="4">
        <v>10000</v>
      </c>
      <c r="G47" s="3">
        <f>IFERROR(G46-YP_預け金管理表[[#This Row],[出金額（元）]],-YP_預け金管理表[[#This Row],[出金額（元）]])</f>
        <v>11438.952408790745</v>
      </c>
      <c r="H47">
        <f>_xlfn.XLOOKUP(EOMONTH(YP_預け金管理表[[#This Row],[発生日]],-1)+1,為替レート表[月初日付],為替レート表[中国人民元],0)</f>
        <v>19.66</v>
      </c>
      <c r="I47" s="6">
        <f>YP_預け金管理表[[#This Row],[出金額（元）]]*YP_預け金管理表[[#This Row],[為替レート]]</f>
        <v>196600</v>
      </c>
      <c r="J47" s="3">
        <v>227177</v>
      </c>
      <c r="K47" s="13">
        <f>ROUND(YP_預け金管理表[[#This Row],[出金額（元）]]*YP_預け金管理表[[#This Row],[為替レート]],0)</f>
        <v>196600</v>
      </c>
      <c r="L47" s="13">
        <f>L46-YP_預け金管理表[[#This Row],[出金額（円）2]]</f>
        <v>227174</v>
      </c>
      <c r="M47">
        <f>ROUND(YP_預け金管理表[[#This Row],[出金額（元）]]*YP_預け金管理表[[#This Row],[為替レート]],0)</f>
        <v>196600</v>
      </c>
    </row>
    <row r="48" spans="1:13" x14ac:dyDescent="0.55000000000000004">
      <c r="A48">
        <v>47</v>
      </c>
      <c r="B48" s="1">
        <v>45068</v>
      </c>
      <c r="C48" t="s">
        <v>58</v>
      </c>
      <c r="D48" t="s">
        <v>59</v>
      </c>
      <c r="E48" t="s">
        <v>57</v>
      </c>
      <c r="F48" s="4">
        <v>65</v>
      </c>
      <c r="G48" s="3">
        <f>IFERROR(G47-YP_預け金管理表[[#This Row],[出金額（元）]],-YP_預け金管理表[[#This Row],[出金額（元）]])</f>
        <v>11373.952408790745</v>
      </c>
      <c r="H48">
        <f>_xlfn.XLOOKUP(EOMONTH(YP_預け金管理表[[#This Row],[発生日]],-1)+1,為替レート表[月初日付],為替レート表[中国人民元],0)</f>
        <v>19.920000000000002</v>
      </c>
      <c r="I48" s="6">
        <f>YP_預け金管理表[[#This Row],[出金額（元）]]*YP_預け金管理表[[#This Row],[為替レート]]</f>
        <v>1294.8000000000002</v>
      </c>
      <c r="J48" s="3">
        <v>225882</v>
      </c>
      <c r="K48" s="13">
        <f>ROUND(YP_預け金管理表[[#This Row],[出金額（元）]]*YP_預け金管理表[[#This Row],[為替レート]],0)</f>
        <v>1295</v>
      </c>
      <c r="L48" s="13">
        <f>L47-YP_預け金管理表[[#This Row],[出金額（円）2]]</f>
        <v>225879</v>
      </c>
      <c r="M48">
        <f>ROUND(YP_預け金管理表[[#This Row],[出金額（元）]]*YP_預け金管理表[[#This Row],[為替レート]],0)</f>
        <v>1295</v>
      </c>
    </row>
    <row r="49" spans="1:13" x14ac:dyDescent="0.55000000000000004">
      <c r="A49">
        <v>48</v>
      </c>
      <c r="B49" s="1">
        <v>45068</v>
      </c>
      <c r="C49" t="s">
        <v>30</v>
      </c>
      <c r="D49" t="s">
        <v>60</v>
      </c>
      <c r="E49" t="s">
        <v>57</v>
      </c>
      <c r="F49" s="4">
        <v>1664</v>
      </c>
      <c r="G49" s="3">
        <f>IFERROR(G48-YP_預け金管理表[[#This Row],[出金額（元）]],-YP_預け金管理表[[#This Row],[出金額（元）]])</f>
        <v>9709.9524087907448</v>
      </c>
      <c r="H49">
        <f>_xlfn.XLOOKUP(EOMONTH(YP_預け金管理表[[#This Row],[発生日]],-1)+1,為替レート表[月初日付],為替レート表[中国人民元],0)</f>
        <v>19.920000000000002</v>
      </c>
      <c r="I49" s="6">
        <f>YP_預け金管理表[[#This Row],[出金額（元）]]*YP_預け金管理表[[#This Row],[為替レート]]</f>
        <v>33146.880000000005</v>
      </c>
      <c r="J49" s="3">
        <v>192735</v>
      </c>
      <c r="K49" s="13">
        <f>ROUND(YP_預け金管理表[[#This Row],[出金額（元）]]*YP_預け金管理表[[#This Row],[為替レート]],0)</f>
        <v>33147</v>
      </c>
      <c r="L49" s="13">
        <f>L48-YP_預け金管理表[[#This Row],[出金額（円）2]]</f>
        <v>192732</v>
      </c>
      <c r="M49">
        <f>ROUND(YP_預け金管理表[[#This Row],[出金額（元）]]*YP_預け金管理表[[#This Row],[為替レート]],0)</f>
        <v>33147</v>
      </c>
    </row>
    <row r="50" spans="1:13" x14ac:dyDescent="0.55000000000000004">
      <c r="A50">
        <v>49</v>
      </c>
      <c r="B50" s="1">
        <v>45069</v>
      </c>
      <c r="C50" t="s">
        <v>48</v>
      </c>
      <c r="D50" t="s">
        <v>61</v>
      </c>
      <c r="E50" t="s">
        <v>57</v>
      </c>
      <c r="F50" s="4">
        <v>-1536</v>
      </c>
      <c r="G50" s="3">
        <f>IFERROR(G49-YP_預け金管理表[[#This Row],[出金額（元）]],-YP_預け金管理表[[#This Row],[出金額（元）]])</f>
        <v>11245.952408790745</v>
      </c>
      <c r="H50">
        <f>_xlfn.XLOOKUP(EOMONTH(YP_預け金管理表[[#This Row],[発生日]],-1)+1,為替レート表[月初日付],為替レート表[中国人民元],0)</f>
        <v>19.920000000000002</v>
      </c>
      <c r="I50" s="6">
        <f>YP_預け金管理表[[#This Row],[出金額（元）]]*YP_預け金管理表[[#This Row],[為替レート]]</f>
        <v>-30597.120000000003</v>
      </c>
      <c r="J50" s="3">
        <v>223332</v>
      </c>
      <c r="K50" s="13">
        <f>ROUND(YP_預け金管理表[[#This Row],[出金額（元）]]*YP_預け金管理表[[#This Row],[為替レート]],0)</f>
        <v>-30597</v>
      </c>
      <c r="L50" s="13">
        <f>L49-YP_預け金管理表[[#This Row],[出金額（円）2]]</f>
        <v>223329</v>
      </c>
      <c r="M50">
        <f>ROUND(YP_預け金管理表[[#This Row],[出金額（元）]]*YP_預け金管理表[[#This Row],[為替レート]],0)</f>
        <v>-30597</v>
      </c>
    </row>
    <row r="51" spans="1:13" x14ac:dyDescent="0.55000000000000004">
      <c r="A51">
        <v>50</v>
      </c>
      <c r="B51" s="1">
        <v>45071</v>
      </c>
      <c r="C51" t="s">
        <v>50</v>
      </c>
      <c r="D51" t="s">
        <v>62</v>
      </c>
      <c r="E51" t="s">
        <v>57</v>
      </c>
      <c r="F51" s="4">
        <v>450</v>
      </c>
      <c r="G51" s="3">
        <f>IFERROR(G50-YP_預け金管理表[[#This Row],[出金額（元）]],-YP_預け金管理表[[#This Row],[出金額（元）]])</f>
        <v>10795.952408790745</v>
      </c>
      <c r="H51">
        <f>_xlfn.XLOOKUP(EOMONTH(YP_預け金管理表[[#This Row],[発生日]],-1)+1,為替レート表[月初日付],為替レート表[中国人民元],0)</f>
        <v>19.920000000000002</v>
      </c>
      <c r="I51" s="6">
        <f>YP_預け金管理表[[#This Row],[出金額（元）]]*YP_預け金管理表[[#This Row],[為替レート]]</f>
        <v>8964</v>
      </c>
      <c r="J51" s="3">
        <v>214368</v>
      </c>
      <c r="K51" s="13">
        <f>ROUND(YP_預け金管理表[[#This Row],[出金額（元）]]*YP_預け金管理表[[#This Row],[為替レート]],0)</f>
        <v>8964</v>
      </c>
      <c r="L51" s="13">
        <f>L50-YP_預け金管理表[[#This Row],[出金額（円）2]]</f>
        <v>214365</v>
      </c>
      <c r="M51">
        <f>ROUND(YP_預け金管理表[[#This Row],[出金額（元）]]*YP_預け金管理表[[#This Row],[為替レート]],0)</f>
        <v>8964</v>
      </c>
    </row>
    <row r="52" spans="1:13" x14ac:dyDescent="0.55000000000000004">
      <c r="A52">
        <v>51</v>
      </c>
      <c r="B52" s="1">
        <v>45071</v>
      </c>
      <c r="C52" t="s">
        <v>54</v>
      </c>
      <c r="D52" t="s">
        <v>63</v>
      </c>
      <c r="E52" t="s">
        <v>57</v>
      </c>
      <c r="F52" s="4">
        <v>15</v>
      </c>
      <c r="G52" s="3">
        <f>IFERROR(G51-YP_預け金管理表[[#This Row],[出金額（元）]],-YP_預け金管理表[[#This Row],[出金額（元）]])</f>
        <v>10780.952408790745</v>
      </c>
      <c r="H52">
        <f>_xlfn.XLOOKUP(EOMONTH(YP_預け金管理表[[#This Row],[発生日]],-1)+1,為替レート表[月初日付],為替レート表[中国人民元],0)</f>
        <v>19.920000000000002</v>
      </c>
      <c r="I52" s="6">
        <f>YP_預け金管理表[[#This Row],[出金額（元）]]*YP_預け金管理表[[#This Row],[為替レート]]</f>
        <v>298.8</v>
      </c>
      <c r="J52" s="3">
        <v>214070</v>
      </c>
      <c r="K52" s="13">
        <f>ROUND(YP_預け金管理表[[#This Row],[出金額（元）]]*YP_預け金管理表[[#This Row],[為替レート]],0)</f>
        <v>299</v>
      </c>
      <c r="L52" s="13">
        <f>L51-YP_預け金管理表[[#This Row],[出金額（円）2]]</f>
        <v>214066</v>
      </c>
      <c r="M52">
        <f>ROUND(YP_預け金管理表[[#This Row],[出金額（元）]]*YP_預け金管理表[[#This Row],[為替レート]],0)</f>
        <v>299</v>
      </c>
    </row>
    <row r="53" spans="1:13" x14ac:dyDescent="0.55000000000000004">
      <c r="A53">
        <v>52</v>
      </c>
      <c r="B53" s="1">
        <v>45098</v>
      </c>
      <c r="C53" t="s">
        <v>39</v>
      </c>
      <c r="F53" s="4">
        <f>189692/20</f>
        <v>9484.6</v>
      </c>
      <c r="G53" s="3">
        <f>IFERROR(G52-YP_預け金管理表[[#This Row],[出金額（元）]],-YP_預け金管理表[[#This Row],[出金額（元）]])</f>
        <v>1296.3524087907444</v>
      </c>
      <c r="H53">
        <f>_xlfn.XLOOKUP(EOMONTH(YP_預け金管理表[[#This Row],[発生日]],-1)+1,為替レート表[月初日付],為替レート表[中国人民元],0)</f>
        <v>20</v>
      </c>
      <c r="I53" s="6">
        <f>YP_預け金管理表[[#This Row],[出金額（元）]]*YP_預け金管理表[[#This Row],[為替レート]]</f>
        <v>189692</v>
      </c>
      <c r="J53" s="3">
        <v>24378</v>
      </c>
      <c r="K53" s="13">
        <f>ROUND(YP_預け金管理表[[#This Row],[出金額（元）]]*YP_預け金管理表[[#This Row],[為替レート]],0)</f>
        <v>189692</v>
      </c>
      <c r="L53" s="13">
        <f>L52-YP_預け金管理表[[#This Row],[出金額（円）2]]</f>
        <v>24374</v>
      </c>
      <c r="M53">
        <f>ROUND(YP_預け金管理表[[#This Row],[出金額（元）]]*YP_預け金管理表[[#This Row],[為替レート]],0)</f>
        <v>189692</v>
      </c>
    </row>
    <row r="54" spans="1:13" x14ac:dyDescent="0.55000000000000004">
      <c r="A54">
        <v>53</v>
      </c>
      <c r="B54" s="1">
        <v>45098</v>
      </c>
      <c r="C54" t="s">
        <v>40</v>
      </c>
      <c r="D54" t="s">
        <v>64</v>
      </c>
      <c r="F54" s="4">
        <v>1219</v>
      </c>
      <c r="G54" s="3">
        <f>IFERROR(G53-YP_預け金管理表[[#This Row],[出金額（元）]],-YP_預け金管理表[[#This Row],[出金額（元）]])</f>
        <v>77.352408790744448</v>
      </c>
      <c r="H54">
        <f>_xlfn.XLOOKUP(EOMONTH(YP_預け金管理表[[#This Row],[発生日]],-1)+1,為替レート表[月初日付],為替レート表[中国人民元],0)</f>
        <v>20</v>
      </c>
      <c r="I54" s="6">
        <f>YP_預け金管理表[[#This Row],[出金額（元）]]*YP_預け金管理表[[#This Row],[為替レート]]</f>
        <v>24380</v>
      </c>
      <c r="J54">
        <v>0</v>
      </c>
      <c r="K54" s="13">
        <f>ROUND(YP_預け金管理表[[#This Row],[出金額（元）]]*YP_預け金管理表[[#This Row],[為替レート]],0)</f>
        <v>24380</v>
      </c>
      <c r="L54" s="13">
        <f>L53-YP_預け金管理表[[#This Row],[出金額（円）2]]</f>
        <v>-6</v>
      </c>
      <c r="M54">
        <f>ROUND(YP_預け金管理表[[#This Row],[出金額（元）]]*YP_預け金管理表[[#This Row],[為替レート]],0)</f>
        <v>24380</v>
      </c>
    </row>
    <row r="59" spans="1:13" x14ac:dyDescent="0.55000000000000004">
      <c r="H59" t="s">
        <v>75</v>
      </c>
      <c r="I59" s="14">
        <f>SUM(I3:I37)</f>
        <v>119558.79000000002</v>
      </c>
    </row>
  </sheetData>
  <phoneticPr fontId="2"/>
  <pageMargins left="0.7" right="0.7" top="0.75" bottom="0.75" header="0.3" footer="0.3"/>
  <pageSetup paperSize="9" scale="99" fitToHeight="0" orientation="landscape" horizontalDpi="4294967293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4</vt:i4>
      </vt:variant>
    </vt:vector>
  </HeadingPairs>
  <TitlesOfParts>
    <vt:vector size="4" baseType="lpstr">
      <vt:lpstr>為替レート表</vt:lpstr>
      <vt:lpstr>ESPRIM</vt:lpstr>
      <vt:lpstr>直行便</vt:lpstr>
      <vt:lpstr>YP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大仁皓平</dc:creator>
  <cp:keywords/>
  <dc:description/>
  <cp:lastModifiedBy>大仁皓平</cp:lastModifiedBy>
  <cp:revision/>
  <cp:lastPrinted>2024-03-02T04:28:40Z</cp:lastPrinted>
  <dcterms:created xsi:type="dcterms:W3CDTF">2023-10-02T11:58:10Z</dcterms:created>
  <dcterms:modified xsi:type="dcterms:W3CDTF">2026-02-02T00:56:14Z</dcterms:modified>
  <cp:category/>
  <cp:contentStatus/>
</cp:coreProperties>
</file>