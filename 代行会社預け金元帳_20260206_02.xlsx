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マイドライブ\仕事\data\"/>
    </mc:Choice>
  </mc:AlternateContent>
  <xr:revisionPtr revIDLastSave="0" documentId="13_ncr:1_{950F536A-A996-4BE3-BCDE-B5D586EABF52}" xr6:coauthVersionLast="47" xr6:coauthVersionMax="47" xr10:uidLastSave="{00000000-0000-0000-0000-000000000000}"/>
  <bookViews>
    <workbookView xWindow="9130" yWindow="-21600" windowWidth="20790" windowHeight="20970" xr2:uid="{15D8A8AA-4943-4BDF-852D-3EDBE8776E42}"/>
  </bookViews>
  <sheets>
    <sheet name="代行会社現預金" sheetId="13" r:id="rId1"/>
    <sheet name="freee勘定科目" sheetId="1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0" i="13" l="1"/>
  <c r="R41" i="13"/>
  <c r="R39" i="13"/>
  <c r="I108" i="13"/>
  <c r="H70" i="13"/>
  <c r="I54" i="13"/>
  <c r="I69" i="13"/>
  <c r="H56" i="13"/>
  <c r="G55" i="13"/>
  <c r="I38" i="13"/>
  <c r="I3" i="13"/>
  <c r="I4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H2" i="13"/>
  <c r="I2" i="13" s="1"/>
  <c r="H47" i="13"/>
  <c r="I47" i="13" s="1"/>
  <c r="I55" i="13"/>
  <c r="I39" i="13"/>
  <c r="I40" i="13"/>
  <c r="I41" i="13"/>
  <c r="I42" i="13"/>
  <c r="I43" i="13"/>
  <c r="I44" i="13"/>
  <c r="I45" i="13"/>
  <c r="I46" i="13"/>
  <c r="I48" i="13"/>
  <c r="I49" i="13"/>
  <c r="I50" i="13"/>
  <c r="I51" i="13"/>
  <c r="I52" i="13"/>
  <c r="I53" i="13"/>
  <c r="G205" i="13"/>
  <c r="G206" i="13" s="1"/>
  <c r="G199" i="13"/>
  <c r="G192" i="13"/>
  <c r="G167" i="13"/>
  <c r="G168" i="13" s="1"/>
  <c r="G163" i="13"/>
  <c r="G164" i="13" s="1"/>
  <c r="S156" i="13"/>
  <c r="I214" i="13"/>
  <c r="G223" i="13"/>
  <c r="G224" i="13" s="1"/>
  <c r="I224" i="13" s="1"/>
  <c r="G218" i="13"/>
  <c r="I211" i="13"/>
  <c r="I213" i="13"/>
  <c r="I215" i="13"/>
  <c r="I216" i="13"/>
  <c r="I217" i="13"/>
  <c r="I220" i="13"/>
  <c r="I221" i="13"/>
  <c r="I222" i="13"/>
  <c r="I223" i="13"/>
  <c r="G200" i="13"/>
  <c r="G193" i="13"/>
  <c r="G153" i="13"/>
  <c r="G127" i="13"/>
  <c r="G57" i="13"/>
  <c r="G113" i="13"/>
  <c r="I59" i="13"/>
  <c r="G219" i="13" l="1"/>
  <c r="I219" i="13" s="1"/>
  <c r="I218" i="13"/>
  <c r="G154" i="13"/>
  <c r="I154" i="13" s="1"/>
  <c r="G114" i="13"/>
  <c r="M117" i="13" s="1" a="1"/>
  <c r="M117" i="13" s="1"/>
  <c r="O117" i="13" s="1"/>
  <c r="I206" i="13"/>
  <c r="I200" i="13"/>
  <c r="I193" i="13"/>
  <c r="I168" i="13"/>
  <c r="I164" i="13"/>
  <c r="I138" i="13"/>
  <c r="G128" i="13"/>
  <c r="I127" i="13"/>
  <c r="I114" i="13"/>
  <c r="I95" i="13"/>
  <c r="I90" i="13"/>
  <c r="I86" i="13"/>
  <c r="I57" i="13"/>
  <c r="I210" i="13"/>
  <c r="I58" i="13"/>
  <c r="I60" i="13"/>
  <c r="I68" i="13"/>
  <c r="I61" i="13"/>
  <c r="I62" i="13"/>
  <c r="I63" i="13"/>
  <c r="I64" i="13"/>
  <c r="I65" i="13"/>
  <c r="I66" i="13"/>
  <c r="I67" i="13"/>
  <c r="I71" i="13"/>
  <c r="I72" i="13"/>
  <c r="I73" i="13"/>
  <c r="I74" i="13"/>
  <c r="I76" i="13"/>
  <c r="I77" i="13"/>
  <c r="I78" i="13"/>
  <c r="I79" i="13"/>
  <c r="I80" i="13"/>
  <c r="I81" i="13"/>
  <c r="I82" i="13"/>
  <c r="I83" i="13"/>
  <c r="I84" i="13"/>
  <c r="I85" i="13"/>
  <c r="I87" i="13"/>
  <c r="I88" i="13"/>
  <c r="I89" i="13"/>
  <c r="I91" i="13"/>
  <c r="I92" i="13"/>
  <c r="I93" i="13"/>
  <c r="I94" i="13"/>
  <c r="I96" i="13"/>
  <c r="I97" i="13"/>
  <c r="I98" i="13"/>
  <c r="I99" i="13"/>
  <c r="I100" i="13"/>
  <c r="I101" i="13"/>
  <c r="I102" i="13"/>
  <c r="I103" i="13"/>
  <c r="I104" i="13"/>
  <c r="I106" i="13"/>
  <c r="I107" i="13"/>
  <c r="I105" i="13"/>
  <c r="I109" i="13"/>
  <c r="I110" i="13"/>
  <c r="I111" i="13"/>
  <c r="I112" i="13"/>
  <c r="I113" i="13"/>
  <c r="I115" i="13"/>
  <c r="I116" i="13"/>
  <c r="I118" i="13"/>
  <c r="I119" i="13"/>
  <c r="I120" i="13"/>
  <c r="I121" i="13"/>
  <c r="I122" i="13"/>
  <c r="I123" i="13"/>
  <c r="I124" i="13"/>
  <c r="I125" i="13"/>
  <c r="I126" i="13"/>
  <c r="I129" i="13"/>
  <c r="I130" i="13"/>
  <c r="I131" i="13"/>
  <c r="I132" i="13"/>
  <c r="I133" i="13"/>
  <c r="I134" i="13"/>
  <c r="I135" i="13"/>
  <c r="I136" i="13"/>
  <c r="I137" i="13"/>
  <c r="I139" i="13"/>
  <c r="I140" i="13"/>
  <c r="I141" i="13"/>
  <c r="I142" i="13"/>
  <c r="I143" i="13"/>
  <c r="I144" i="13"/>
  <c r="I145" i="13"/>
  <c r="I146" i="13"/>
  <c r="I147" i="13"/>
  <c r="I148" i="13"/>
  <c r="I149" i="13"/>
  <c r="I150" i="13"/>
  <c r="I151" i="13"/>
  <c r="I152" i="13"/>
  <c r="I153" i="13"/>
  <c r="I155" i="13"/>
  <c r="I156" i="13"/>
  <c r="I157" i="13"/>
  <c r="I158" i="13"/>
  <c r="I159" i="13"/>
  <c r="I160" i="13"/>
  <c r="I161" i="13"/>
  <c r="I162" i="13"/>
  <c r="I163" i="13"/>
  <c r="I165" i="13"/>
  <c r="I166" i="13"/>
  <c r="I167" i="13"/>
  <c r="I169" i="13"/>
  <c r="I170" i="13"/>
  <c r="I171" i="13"/>
  <c r="I172" i="13"/>
  <c r="I173" i="13"/>
  <c r="I174" i="13"/>
  <c r="I175" i="13"/>
  <c r="I176" i="13"/>
  <c r="I177" i="13"/>
  <c r="I178" i="13"/>
  <c r="I179" i="13"/>
  <c r="I180" i="13"/>
  <c r="I181" i="13"/>
  <c r="I182" i="13"/>
  <c r="I183" i="13"/>
  <c r="I184" i="13"/>
  <c r="I185" i="13"/>
  <c r="I186" i="13"/>
  <c r="I187" i="13"/>
  <c r="I188" i="13"/>
  <c r="I189" i="13"/>
  <c r="I190" i="13"/>
  <c r="I191" i="13"/>
  <c r="I192" i="13"/>
  <c r="I194" i="13"/>
  <c r="I195" i="13"/>
  <c r="I196" i="13"/>
  <c r="I197" i="13"/>
  <c r="I198" i="13"/>
  <c r="I199" i="13"/>
  <c r="I201" i="13"/>
  <c r="I202" i="13"/>
  <c r="I203" i="13"/>
  <c r="I204" i="13"/>
  <c r="I205" i="13"/>
  <c r="I207" i="13"/>
  <c r="I208" i="13"/>
  <c r="I209" i="13"/>
  <c r="M212" i="13" l="1" a="1"/>
  <c r="M212" i="13" s="1"/>
  <c r="M75" i="13" a="1"/>
  <c r="M75" i="13" s="1"/>
  <c r="O75" i="13" s="1"/>
  <c r="M158" i="13" a="1"/>
  <c r="M158" i="13" s="1"/>
  <c r="M94" i="13" a="1"/>
  <c r="M94" i="13" s="1"/>
  <c r="M219" i="13" a="1"/>
  <c r="M219" i="13" s="1"/>
  <c r="O219" i="13" s="1"/>
  <c r="M91" i="13" a="1"/>
  <c r="M91" i="13" s="1"/>
  <c r="M135" i="13" a="1"/>
  <c r="M135" i="13" s="1"/>
  <c r="M9" i="13" a="1"/>
  <c r="M9" i="13" s="1"/>
  <c r="O9" i="13" s="1"/>
  <c r="M42" i="13" a="1"/>
  <c r="M42" i="13" s="1"/>
  <c r="O42" i="13" s="1"/>
  <c r="M90" i="13" a="1"/>
  <c r="M90" i="13" s="1"/>
  <c r="M99" i="13" a="1"/>
  <c r="M99" i="13" s="1"/>
  <c r="M153" i="13" a="1"/>
  <c r="M153" i="13" s="1"/>
  <c r="M98" i="13" a="1"/>
  <c r="M98" i="13" s="1"/>
  <c r="M74" i="13" a="1"/>
  <c r="M74" i="13" s="1"/>
  <c r="M155" i="13" a="1"/>
  <c r="M155" i="13" s="1"/>
  <c r="M108" i="13" a="1"/>
  <c r="M108" i="13" s="1"/>
  <c r="M205" i="13" a="1"/>
  <c r="M205" i="13" s="1"/>
  <c r="M164" i="13" a="1"/>
  <c r="M164" i="13" s="1"/>
  <c r="M198" i="13" a="1"/>
  <c r="M198" i="13" s="1"/>
  <c r="M211" i="13" a="1"/>
  <c r="M211" i="13" s="1"/>
  <c r="O211" i="13" s="1"/>
  <c r="M18" i="13" a="1"/>
  <c r="M18" i="13" s="1"/>
  <c r="O18" i="13" s="1"/>
  <c r="M2" i="13" a="1"/>
  <c r="M2" i="13" s="1"/>
  <c r="O2" i="13" s="1"/>
  <c r="M3" i="13" a="1"/>
  <c r="M3" i="13" s="1"/>
  <c r="O3" i="13" s="1"/>
  <c r="M5" i="13" a="1"/>
  <c r="M5" i="13" s="1"/>
  <c r="O5" i="13" s="1"/>
  <c r="M39" i="13" a="1"/>
  <c r="M39" i="13" s="1"/>
  <c r="O39" i="13" s="1"/>
  <c r="M154" i="13" a="1"/>
  <c r="M154" i="13" s="1"/>
  <c r="M26" i="13" a="1"/>
  <c r="M26" i="13" s="1"/>
  <c r="O26" i="13" s="1"/>
  <c r="M167" i="13" a="1"/>
  <c r="M167" i="13" s="1"/>
  <c r="M25" i="13" a="1"/>
  <c r="M25" i="13" s="1"/>
  <c r="O25" i="13" s="1"/>
  <c r="M224" i="13" a="1"/>
  <c r="M224" i="13" s="1"/>
  <c r="O224" i="13" s="1"/>
  <c r="M128" i="13" a="1"/>
  <c r="M128" i="13" s="1"/>
  <c r="M58" i="13" a="1"/>
  <c r="M58" i="13" s="1"/>
  <c r="M132" i="13" a="1"/>
  <c r="M132" i="13" s="1"/>
  <c r="M102" i="13" a="1"/>
  <c r="M102" i="13" s="1"/>
  <c r="M93" i="13" a="1"/>
  <c r="M93" i="13" s="1"/>
  <c r="M104" i="13" a="1"/>
  <c r="M104" i="13" s="1"/>
  <c r="M68" i="13" a="1"/>
  <c r="M68" i="13" s="1"/>
  <c r="M134" i="13" a="1"/>
  <c r="M134" i="13" s="1"/>
  <c r="M13" i="13" a="1"/>
  <c r="M13" i="13" s="1"/>
  <c r="O13" i="13" s="1"/>
  <c r="M161" i="13" a="1"/>
  <c r="M161" i="13" s="1"/>
  <c r="M166" i="13" a="1"/>
  <c r="M166" i="13" s="1"/>
  <c r="M218" i="13" a="1"/>
  <c r="M218" i="13" s="1"/>
  <c r="O218" i="13" s="1"/>
  <c r="M64" i="13" a="1"/>
  <c r="M64" i="13" s="1"/>
  <c r="M72" i="13" a="1"/>
  <c r="M72" i="13" s="1"/>
  <c r="M100" i="13" a="1"/>
  <c r="M100" i="13" s="1"/>
  <c r="M113" i="13" a="1"/>
  <c r="M113" i="13" s="1"/>
  <c r="M63" i="13" a="1"/>
  <c r="M63" i="13" s="1"/>
  <c r="M199" i="13" a="1"/>
  <c r="M199" i="13" s="1"/>
  <c r="M20" i="13" a="1"/>
  <c r="M20" i="13" s="1"/>
  <c r="O20" i="13" s="1"/>
  <c r="M89" i="13" a="1"/>
  <c r="M89" i="13" s="1"/>
  <c r="M174" i="13" a="1"/>
  <c r="M174" i="13" s="1"/>
  <c r="M190" i="13" a="1"/>
  <c r="M190" i="13" s="1"/>
  <c r="M101" i="13" a="1"/>
  <c r="M101" i="13" s="1"/>
  <c r="M57" i="13" a="1"/>
  <c r="M57" i="13" s="1"/>
  <c r="M176" i="13" a="1"/>
  <c r="M176" i="13" s="1"/>
  <c r="M50" i="13" a="1"/>
  <c r="M50" i="13" s="1"/>
  <c r="O50" i="13" s="1"/>
  <c r="M16" i="13" a="1"/>
  <c r="M16" i="13" s="1"/>
  <c r="O16" i="13" s="1"/>
  <c r="M38" i="13" a="1"/>
  <c r="M38" i="13" s="1"/>
  <c r="O38" i="13" s="1"/>
  <c r="M55" i="13" a="1"/>
  <c r="M55" i="13" s="1"/>
  <c r="O55" i="13" s="1"/>
  <c r="M37" i="13" a="1"/>
  <c r="M37" i="13" s="1"/>
  <c r="O37" i="13" s="1"/>
  <c r="M51" i="13" a="1"/>
  <c r="M51" i="13" s="1"/>
  <c r="O51" i="13" s="1"/>
  <c r="M52" i="13" a="1"/>
  <c r="M52" i="13" s="1"/>
  <c r="O52" i="13" s="1"/>
  <c r="M32" i="13" a="1"/>
  <c r="M32" i="13" s="1"/>
  <c r="O32" i="13" s="1"/>
  <c r="M47" i="13" a="1"/>
  <c r="M47" i="13" s="1"/>
  <c r="O47" i="13" s="1"/>
  <c r="M48" i="13" a="1"/>
  <c r="M48" i="13" s="1"/>
  <c r="O48" i="13" s="1"/>
  <c r="M46" i="13" a="1"/>
  <c r="M46" i="13" s="1"/>
  <c r="O46" i="13" s="1"/>
  <c r="M56" i="13" a="1"/>
  <c r="M56" i="13" s="1"/>
  <c r="O56" i="13" s="1"/>
  <c r="M28" i="13" a="1"/>
  <c r="M28" i="13" s="1"/>
  <c r="O28" i="13" s="1"/>
  <c r="M21" i="13" a="1"/>
  <c r="M21" i="13" s="1"/>
  <c r="O21" i="13" s="1"/>
  <c r="M204" i="13" a="1"/>
  <c r="M204" i="13" s="1"/>
  <c r="M221" i="13" a="1"/>
  <c r="M221" i="13" s="1"/>
  <c r="O221" i="13" s="1"/>
  <c r="M36" i="13" a="1"/>
  <c r="M36" i="13" s="1"/>
  <c r="O36" i="13" s="1"/>
  <c r="M171" i="13" a="1"/>
  <c r="M171" i="13" s="1"/>
  <c r="M59" i="13" a="1"/>
  <c r="M59" i="13" s="1"/>
  <c r="M183" i="13" a="1"/>
  <c r="M183" i="13" s="1"/>
  <c r="M156" i="13" a="1"/>
  <c r="M156" i="13" s="1"/>
  <c r="M172" i="13" a="1"/>
  <c r="M172" i="13" s="1"/>
  <c r="M170" i="13" a="1"/>
  <c r="M170" i="13" s="1"/>
  <c r="M118" i="13" a="1"/>
  <c r="M118" i="13" s="1"/>
  <c r="M54" i="13" a="1"/>
  <c r="M54" i="13" s="1"/>
  <c r="O54" i="13" s="1"/>
  <c r="M207" i="13" a="1"/>
  <c r="M207" i="13" s="1"/>
  <c r="M125" i="13" a="1"/>
  <c r="M125" i="13" s="1"/>
  <c r="M168" i="13" a="1"/>
  <c r="M168" i="13" s="1"/>
  <c r="M76" i="13" a="1"/>
  <c r="M76" i="13" s="1"/>
  <c r="M223" i="13" a="1"/>
  <c r="M223" i="13" s="1"/>
  <c r="O223" i="13" s="1"/>
  <c r="M6" i="13" a="1"/>
  <c r="M6" i="13" s="1"/>
  <c r="O6" i="13" s="1"/>
  <c r="M40" i="13" a="1"/>
  <c r="M40" i="13" s="1"/>
  <c r="O40" i="13" s="1"/>
  <c r="M110" i="13" a="1"/>
  <c r="M110" i="13" s="1"/>
  <c r="M214" i="13" a="1"/>
  <c r="M214" i="13" s="1"/>
  <c r="O214" i="13" s="1"/>
  <c r="M173" i="13" a="1"/>
  <c r="M173" i="13" s="1"/>
  <c r="M210" i="13" a="1"/>
  <c r="M210" i="13" s="1"/>
  <c r="M27" i="13" a="1"/>
  <c r="M27" i="13" s="1"/>
  <c r="O27" i="13" s="1"/>
  <c r="M83" i="13" a="1"/>
  <c r="M83" i="13" s="1"/>
  <c r="M22" i="13" a="1"/>
  <c r="M22" i="13" s="1"/>
  <c r="O22" i="13" s="1"/>
  <c r="M81" i="13" a="1"/>
  <c r="M81" i="13" s="1"/>
  <c r="M84" i="13" a="1"/>
  <c r="M84" i="13" s="1"/>
  <c r="M141" i="13" a="1"/>
  <c r="M141" i="13" s="1"/>
  <c r="M203" i="13" a="1"/>
  <c r="M203" i="13" s="1"/>
  <c r="M60" i="13" a="1"/>
  <c r="M60" i="13" s="1"/>
  <c r="M62" i="13" a="1"/>
  <c r="M62" i="13" s="1"/>
  <c r="M181" i="13" a="1"/>
  <c r="M181" i="13" s="1"/>
  <c r="M8" i="13" a="1"/>
  <c r="M8" i="13" s="1"/>
  <c r="O8" i="13" s="1"/>
  <c r="M44" i="13" a="1"/>
  <c r="M44" i="13" s="1"/>
  <c r="O44" i="13" s="1"/>
  <c r="M193" i="13" a="1"/>
  <c r="M193" i="13" s="1"/>
  <c r="M144" i="13" a="1"/>
  <c r="M144" i="13" s="1"/>
  <c r="M129" i="13" a="1"/>
  <c r="M129" i="13" s="1"/>
  <c r="M192" i="13" a="1"/>
  <c r="M192" i="13" s="1"/>
  <c r="M140" i="13" a="1"/>
  <c r="M140" i="13" s="1"/>
  <c r="M189" i="13" a="1"/>
  <c r="M189" i="13" s="1"/>
  <c r="M80" i="13" a="1"/>
  <c r="M80" i="13" s="1"/>
  <c r="M106" i="13" a="1"/>
  <c r="M106" i="13" s="1"/>
  <c r="M53" i="13" a="1"/>
  <c r="M53" i="13" s="1"/>
  <c r="O53" i="13" s="1"/>
  <c r="M92" i="13" a="1"/>
  <c r="M92" i="13" s="1"/>
  <c r="M208" i="13" a="1"/>
  <c r="M208" i="13" s="1"/>
  <c r="M201" i="13" a="1"/>
  <c r="M201" i="13" s="1"/>
  <c r="M97" i="13" a="1"/>
  <c r="M97" i="13" s="1"/>
  <c r="M142" i="13" a="1"/>
  <c r="M142" i="13" s="1"/>
  <c r="M7" i="13" a="1"/>
  <c r="M7" i="13" s="1"/>
  <c r="O7" i="13" s="1"/>
  <c r="M41" i="13" a="1"/>
  <c r="M41" i="13" s="1"/>
  <c r="O41" i="13" s="1"/>
  <c r="M169" i="13" a="1"/>
  <c r="M169" i="13" s="1"/>
  <c r="M87" i="13" a="1"/>
  <c r="M87" i="13" s="1"/>
  <c r="M138" i="13" a="1"/>
  <c r="M138" i="13" s="1"/>
  <c r="M126" i="13" a="1"/>
  <c r="M126" i="13" s="1"/>
  <c r="O212" i="13"/>
  <c r="M77" i="13" a="1"/>
  <c r="M77" i="13" s="1"/>
  <c r="M180" i="13" a="1"/>
  <c r="M180" i="13" s="1"/>
  <c r="M105" i="13" a="1"/>
  <c r="M105" i="13" s="1"/>
  <c r="M49" i="13" a="1"/>
  <c r="M49" i="13" s="1"/>
  <c r="O49" i="13" s="1"/>
  <c r="M71" i="13" a="1"/>
  <c r="M71" i="13" s="1"/>
  <c r="M163" i="13" a="1"/>
  <c r="M163" i="13" s="1"/>
  <c r="M187" i="13" a="1"/>
  <c r="M187" i="13" s="1"/>
  <c r="M19" i="13" a="1"/>
  <c r="M19" i="13" s="1"/>
  <c r="O19" i="13" s="1"/>
  <c r="M148" i="13" a="1"/>
  <c r="M148" i="13" s="1"/>
  <c r="M184" i="13" a="1"/>
  <c r="M184" i="13" s="1"/>
  <c r="M150" i="13" a="1"/>
  <c r="M150" i="13" s="1"/>
  <c r="M24" i="13" a="1"/>
  <c r="M24" i="13" s="1"/>
  <c r="O24" i="13" s="1"/>
  <c r="M123" i="13" a="1"/>
  <c r="M123" i="13" s="1"/>
  <c r="M95" i="13" a="1"/>
  <c r="M95" i="13" s="1"/>
  <c r="M78" i="13" a="1"/>
  <c r="M78" i="13" s="1"/>
  <c r="M70" i="13" a="1"/>
  <c r="M70" i="13" s="1"/>
  <c r="O70" i="13" s="1"/>
  <c r="M194" i="13" a="1"/>
  <c r="M194" i="13" s="1"/>
  <c r="M151" i="13" a="1"/>
  <c r="M151" i="13" s="1"/>
  <c r="M17" i="13" a="1"/>
  <c r="M17" i="13" s="1"/>
  <c r="O17" i="13" s="1"/>
  <c r="M33" i="13" a="1"/>
  <c r="M33" i="13" s="1"/>
  <c r="O33" i="13" s="1"/>
  <c r="M116" i="13" a="1"/>
  <c r="M116" i="13" s="1"/>
  <c r="M122" i="13" a="1"/>
  <c r="M122" i="13" s="1"/>
  <c r="M146" i="13" a="1"/>
  <c r="M146" i="13" s="1"/>
  <c r="M206" i="13" a="1"/>
  <c r="M206" i="13" s="1"/>
  <c r="M186" i="13" a="1"/>
  <c r="M186" i="13" s="1"/>
  <c r="M96" i="13" a="1"/>
  <c r="M96" i="13" s="1"/>
  <c r="M137" i="13" a="1"/>
  <c r="M137" i="13" s="1"/>
  <c r="M30" i="13" a="1"/>
  <c r="M30" i="13" s="1"/>
  <c r="O30" i="13" s="1"/>
  <c r="M86" i="13" a="1"/>
  <c r="M86" i="13" s="1"/>
  <c r="M191" i="13" a="1"/>
  <c r="M191" i="13" s="1"/>
  <c r="M112" i="13" a="1"/>
  <c r="M112" i="13" s="1"/>
  <c r="M34" i="13" a="1"/>
  <c r="M34" i="13" s="1"/>
  <c r="O34" i="13" s="1"/>
  <c r="M66" i="13" a="1"/>
  <c r="M66" i="13" s="1"/>
  <c r="M149" i="13" a="1"/>
  <c r="M149" i="13" s="1"/>
  <c r="M67" i="13" a="1"/>
  <c r="M67" i="13" s="1"/>
  <c r="M127" i="13" a="1"/>
  <c r="M127" i="13" s="1"/>
  <c r="M88" i="13" a="1"/>
  <c r="M88" i="13" s="1"/>
  <c r="M15" i="13" a="1"/>
  <c r="M15" i="13" s="1"/>
  <c r="O15" i="13" s="1"/>
  <c r="M195" i="13" a="1"/>
  <c r="M195" i="13" s="1"/>
  <c r="M69" i="13" a="1"/>
  <c r="M69" i="13" s="1"/>
  <c r="O69" i="13" s="1"/>
  <c r="M185" i="13" a="1"/>
  <c r="M185" i="13" s="1"/>
  <c r="M85" i="13" a="1"/>
  <c r="M85" i="13" s="1"/>
  <c r="M73" i="13" a="1"/>
  <c r="M73" i="13" s="1"/>
  <c r="M35" i="13" a="1"/>
  <c r="M35" i="13" s="1"/>
  <c r="O35" i="13" s="1"/>
  <c r="M178" i="13" a="1"/>
  <c r="M178" i="13" s="1"/>
  <c r="M162" i="13" a="1"/>
  <c r="M162" i="13" s="1"/>
  <c r="M143" i="13" a="1"/>
  <c r="M143" i="13" s="1"/>
  <c r="M107" i="13" a="1"/>
  <c r="M107" i="13" s="1"/>
  <c r="M209" i="13" a="1"/>
  <c r="M209" i="13" s="1"/>
  <c r="M109" i="13" a="1"/>
  <c r="M109" i="13" s="1"/>
  <c r="M131" i="13" a="1"/>
  <c r="M131" i="13" s="1"/>
  <c r="M31" i="13" a="1"/>
  <c r="M31" i="13" s="1"/>
  <c r="O31" i="13" s="1"/>
  <c r="M202" i="13" a="1"/>
  <c r="M202" i="13" s="1"/>
  <c r="M145" i="13" a="1"/>
  <c r="M145" i="13" s="1"/>
  <c r="M215" i="13" a="1"/>
  <c r="M215" i="13" s="1"/>
  <c r="O215" i="13" s="1"/>
  <c r="M133" i="13" a="1"/>
  <c r="M133" i="13" s="1"/>
  <c r="M4" i="13" a="1"/>
  <c r="M4" i="13" s="1"/>
  <c r="O4" i="13" s="1"/>
  <c r="M12" i="13" a="1"/>
  <c r="M12" i="13" s="1"/>
  <c r="O12" i="13" s="1"/>
  <c r="M196" i="13" a="1"/>
  <c r="M196" i="13" s="1"/>
  <c r="M115" i="13" a="1"/>
  <c r="M115" i="13" s="1"/>
  <c r="M124" i="13" a="1"/>
  <c r="M124" i="13" s="1"/>
  <c r="M213" i="13" a="1"/>
  <c r="M213" i="13" s="1"/>
  <c r="O213" i="13" s="1"/>
  <c r="M188" i="13" a="1"/>
  <c r="M188" i="13" s="1"/>
  <c r="M136" i="13" a="1"/>
  <c r="M136" i="13" s="1"/>
  <c r="M120" i="13" a="1"/>
  <c r="M120" i="13" s="1"/>
  <c r="M103" i="13" a="1"/>
  <c r="M103" i="13" s="1"/>
  <c r="M14" i="13" a="1"/>
  <c r="M14" i="13" s="1"/>
  <c r="O14" i="13" s="1"/>
  <c r="M220" i="13" a="1"/>
  <c r="M220" i="13" s="1"/>
  <c r="O220" i="13" s="1"/>
  <c r="M139" i="13" a="1"/>
  <c r="M139" i="13" s="1"/>
  <c r="M23" i="13" a="1"/>
  <c r="M23" i="13" s="1"/>
  <c r="O23" i="13" s="1"/>
  <c r="M114" i="13" a="1"/>
  <c r="M114" i="13" s="1"/>
  <c r="M61" i="13" a="1"/>
  <c r="M61" i="13" s="1"/>
  <c r="M10" i="13" a="1"/>
  <c r="M10" i="13" s="1"/>
  <c r="O10" i="13" s="1"/>
  <c r="M43" i="13" a="1"/>
  <c r="M43" i="13" s="1"/>
  <c r="O43" i="13" s="1"/>
  <c r="M157" i="13" a="1"/>
  <c r="M157" i="13" s="1"/>
  <c r="M82" i="13" a="1"/>
  <c r="M82" i="13" s="1"/>
  <c r="M175" i="13" a="1"/>
  <c r="M175" i="13" s="1"/>
  <c r="M177" i="13" a="1"/>
  <c r="M177" i="13" s="1"/>
  <c r="M147" i="13" a="1"/>
  <c r="M147" i="13" s="1"/>
  <c r="M152" i="13" a="1"/>
  <c r="M152" i="13" s="1"/>
  <c r="M119" i="13" a="1"/>
  <c r="M119" i="13" s="1"/>
  <c r="M197" i="13" a="1"/>
  <c r="M197" i="13" s="1"/>
  <c r="M65" i="13" a="1"/>
  <c r="M65" i="13" s="1"/>
  <c r="M200" i="13" a="1"/>
  <c r="M200" i="13" s="1"/>
  <c r="M79" i="13" a="1"/>
  <c r="M79" i="13" s="1"/>
  <c r="M179" i="13" a="1"/>
  <c r="M179" i="13" s="1"/>
  <c r="M121" i="13" a="1"/>
  <c r="M121" i="13" s="1"/>
  <c r="M217" i="13" a="1"/>
  <c r="M217" i="13" s="1"/>
  <c r="O217" i="13" s="1"/>
  <c r="M11" i="13" a="1"/>
  <c r="M11" i="13" s="1"/>
  <c r="O11" i="13" s="1"/>
  <c r="M45" i="13" a="1"/>
  <c r="M45" i="13" s="1"/>
  <c r="O45" i="13" s="1"/>
  <c r="M165" i="13" a="1"/>
  <c r="M165" i="13" s="1"/>
  <c r="M159" i="13" a="1"/>
  <c r="M159" i="13" s="1"/>
  <c r="M222" i="13" a="1"/>
  <c r="M222" i="13" s="1"/>
  <c r="O222" i="13" s="1"/>
  <c r="M130" i="13" a="1"/>
  <c r="M130" i="13" s="1"/>
  <c r="M160" i="13" a="1"/>
  <c r="M160" i="13" s="1"/>
  <c r="M182" i="13" a="1"/>
  <c r="M182" i="13" s="1"/>
  <c r="M216" i="13" a="1"/>
  <c r="M216" i="13" s="1"/>
  <c r="O216" i="13" s="1"/>
  <c r="M111" i="13" a="1"/>
  <c r="M111" i="13" s="1"/>
  <c r="M29" i="13" a="1"/>
  <c r="M29" i="13" s="1"/>
  <c r="O29" i="13" s="1"/>
  <c r="I128" i="13"/>
  <c r="N75" i="13" l="1" a="1"/>
  <c r="N75" i="13" s="1"/>
  <c r="P75" i="13" s="1"/>
  <c r="N117" i="13" a="1"/>
  <c r="N117" i="13" s="1"/>
  <c r="P117" i="13" s="1"/>
  <c r="O206" i="13"/>
  <c r="O200" i="13"/>
  <c r="O193" i="13"/>
  <c r="O168" i="13"/>
  <c r="O164" i="13"/>
  <c r="O154" i="13"/>
  <c r="O104" i="13"/>
  <c r="O138" i="13"/>
  <c r="O128" i="13"/>
  <c r="O114" i="13"/>
  <c r="O90" i="13"/>
  <c r="O95" i="13"/>
  <c r="O202" i="13"/>
  <c r="O181" i="13"/>
  <c r="O150" i="13"/>
  <c r="O136" i="13"/>
  <c r="O123" i="13"/>
  <c r="O97" i="13"/>
  <c r="O83" i="13"/>
  <c r="O204" i="13"/>
  <c r="O191" i="13"/>
  <c r="O180" i="13"/>
  <c r="O171" i="13"/>
  <c r="O149" i="13"/>
  <c r="O142" i="13"/>
  <c r="O133" i="13"/>
  <c r="O125" i="13"/>
  <c r="O116" i="13"/>
  <c r="O109" i="13"/>
  <c r="O100" i="13"/>
  <c r="O85" i="13"/>
  <c r="O78" i="13"/>
  <c r="O208" i="13"/>
  <c r="O195" i="13"/>
  <c r="O184" i="13"/>
  <c r="O173" i="13"/>
  <c r="O151" i="13"/>
  <c r="O144" i="13"/>
  <c r="O131" i="13"/>
  <c r="O115" i="13"/>
  <c r="O107" i="13"/>
  <c r="O96" i="13"/>
  <c r="O88" i="13"/>
  <c r="O64" i="13"/>
  <c r="O210" i="13"/>
  <c r="O199" i="13"/>
  <c r="O188" i="13"/>
  <c r="O177" i="13"/>
  <c r="O169" i="13"/>
  <c r="O135" i="13"/>
  <c r="O127" i="13"/>
  <c r="O119" i="13"/>
  <c r="O110" i="13"/>
  <c r="O102" i="13"/>
  <c r="O91" i="13"/>
  <c r="O74" i="13"/>
  <c r="O59" i="13"/>
  <c r="O203" i="13"/>
  <c r="O183" i="13"/>
  <c r="O165" i="13"/>
  <c r="O141" i="13"/>
  <c r="O124" i="13"/>
  <c r="O99" i="13"/>
  <c r="O73" i="13"/>
  <c r="O196" i="13"/>
  <c r="O185" i="13"/>
  <c r="O145" i="13"/>
  <c r="O137" i="13"/>
  <c r="O120" i="13"/>
  <c r="O111" i="13"/>
  <c r="O103" i="13"/>
  <c r="O92" i="13"/>
  <c r="O84" i="13"/>
  <c r="O77" i="13"/>
  <c r="O66" i="13"/>
  <c r="O61" i="13"/>
  <c r="O86" i="13"/>
  <c r="O80" i="13"/>
  <c r="O57" i="13"/>
  <c r="O207" i="13"/>
  <c r="O194" i="13"/>
  <c r="O182" i="13"/>
  <c r="O172" i="13"/>
  <c r="O143" i="13"/>
  <c r="O134" i="13"/>
  <c r="O126" i="13"/>
  <c r="O118" i="13"/>
  <c r="O105" i="13"/>
  <c r="O98" i="13"/>
  <c r="O89" i="13"/>
  <c r="O67" i="13"/>
  <c r="O58" i="13"/>
  <c r="O76" i="13"/>
  <c r="O60" i="13"/>
  <c r="O205" i="13"/>
  <c r="O190" i="13"/>
  <c r="O179" i="13"/>
  <c r="O170" i="13"/>
  <c r="O148" i="13"/>
  <c r="O71" i="13"/>
  <c r="O68" i="13"/>
  <c r="O201" i="13"/>
  <c r="O189" i="13"/>
  <c r="O178" i="13"/>
  <c r="O167" i="13"/>
  <c r="O163" i="13"/>
  <c r="O162" i="13"/>
  <c r="O161" i="13"/>
  <c r="O160" i="13"/>
  <c r="O159" i="13"/>
  <c r="O158" i="13"/>
  <c r="O157" i="13"/>
  <c r="O156" i="13"/>
  <c r="O155" i="13"/>
  <c r="O153" i="13"/>
  <c r="O192" i="13"/>
  <c r="O174" i="13"/>
  <c r="O146" i="13"/>
  <c r="O132" i="13"/>
  <c r="O101" i="13"/>
  <c r="O79" i="13"/>
  <c r="O65" i="13"/>
  <c r="O209" i="13"/>
  <c r="O197" i="13"/>
  <c r="O186" i="13"/>
  <c r="O175" i="13"/>
  <c r="O166" i="13"/>
  <c r="O147" i="13"/>
  <c r="O140" i="13"/>
  <c r="O130" i="13"/>
  <c r="O122" i="13"/>
  <c r="O113" i="13"/>
  <c r="O106" i="13"/>
  <c r="O93" i="13"/>
  <c r="O87" i="13"/>
  <c r="O82" i="13"/>
  <c r="O72" i="13"/>
  <c r="O63" i="13"/>
  <c r="O198" i="13"/>
  <c r="O187" i="13"/>
  <c r="O176" i="13"/>
  <c r="O152" i="13"/>
  <c r="O139" i="13"/>
  <c r="O129" i="13"/>
  <c r="O121" i="13"/>
  <c r="O112" i="13"/>
  <c r="O94" i="13"/>
  <c r="O81" i="13"/>
  <c r="O62" i="13"/>
  <c r="N185" i="13" l="1" a="1"/>
  <c r="N185" i="13" s="1"/>
  <c r="P185" i="13" s="1"/>
  <c r="N48" i="13" a="1"/>
  <c r="N48" i="13" s="1"/>
  <c r="P48" i="13" s="1"/>
  <c r="N196" i="13" a="1"/>
  <c r="N196" i="13" s="1"/>
  <c r="P196" i="13" s="1"/>
  <c r="N7" i="13" a="1"/>
  <c r="N7" i="13" s="1"/>
  <c r="P7" i="13" s="1"/>
  <c r="N41" i="13" a="1"/>
  <c r="N41" i="13" s="1"/>
  <c r="P41" i="13" s="1"/>
  <c r="N14" i="13" a="1"/>
  <c r="N14" i="13" s="1"/>
  <c r="P14" i="13" s="1"/>
  <c r="N154" i="13" a="1"/>
  <c r="N154" i="13" s="1"/>
  <c r="P154" i="13" s="1"/>
  <c r="N56" i="13" a="1"/>
  <c r="N56" i="13" s="1"/>
  <c r="P56" i="13" s="1"/>
  <c r="N123" i="13" a="1"/>
  <c r="N123" i="13" s="1"/>
  <c r="P123" i="13" s="1"/>
  <c r="N13" i="13" a="1"/>
  <c r="N13" i="13" s="1"/>
  <c r="P13" i="13" s="1"/>
  <c r="N32" i="13" a="1"/>
  <c r="N32" i="13" s="1"/>
  <c r="P32" i="13" s="1"/>
  <c r="N78" i="13" a="1"/>
  <c r="N78" i="13" s="1"/>
  <c r="P78" i="13" s="1"/>
  <c r="N76" i="13" a="1"/>
  <c r="N76" i="13" s="1"/>
  <c r="P76" i="13" s="1"/>
  <c r="N9" i="13" a="1"/>
  <c r="N9" i="13" s="1"/>
  <c r="P9" i="13" s="1"/>
  <c r="N27" i="13" a="1"/>
  <c r="N27" i="13" s="1"/>
  <c r="P27" i="13" s="1"/>
  <c r="N89" i="13" a="1"/>
  <c r="N89" i="13" s="1"/>
  <c r="P89" i="13" s="1"/>
  <c r="N17" i="13" a="1"/>
  <c r="N17" i="13" s="1"/>
  <c r="P17" i="13" s="1"/>
  <c r="N119" i="13" a="1"/>
  <c r="N119" i="13" s="1"/>
  <c r="P119" i="13" s="1"/>
  <c r="N126" i="13" a="1"/>
  <c r="N126" i="13" s="1"/>
  <c r="P126" i="13" s="1"/>
  <c r="N114" i="13" a="1"/>
  <c r="N114" i="13" s="1"/>
  <c r="P114" i="13" s="1"/>
  <c r="N61" i="13" a="1"/>
  <c r="N61" i="13" s="1"/>
  <c r="P61" i="13" s="1"/>
  <c r="N52" i="13" a="1"/>
  <c r="N52" i="13" s="1"/>
  <c r="P52" i="13" s="1"/>
  <c r="N100" i="13" a="1"/>
  <c r="N100" i="13" s="1"/>
  <c r="P100" i="13" s="1"/>
  <c r="N21" i="13" a="1"/>
  <c r="N21" i="13" s="1"/>
  <c r="P21" i="13" s="1"/>
  <c r="N176" i="13" a="1"/>
  <c r="N176" i="13" s="1"/>
  <c r="P176" i="13" s="1"/>
  <c r="N130" i="13" a="1"/>
  <c r="N130" i="13" s="1"/>
  <c r="P130" i="13" s="1"/>
  <c r="N68" i="13" a="1"/>
  <c r="N68" i="13" s="1"/>
  <c r="P68" i="13" s="1"/>
  <c r="N192" i="13" a="1"/>
  <c r="N192" i="13" s="1"/>
  <c r="P192" i="13" s="1"/>
  <c r="N132" i="13" a="1"/>
  <c r="N132" i="13" s="1"/>
  <c r="P132" i="13" s="1"/>
  <c r="N107" i="13" a="1"/>
  <c r="N107" i="13" s="1"/>
  <c r="P107" i="13" s="1"/>
  <c r="N216" i="13" a="1"/>
  <c r="N216" i="13" s="1"/>
  <c r="P216" i="13" s="1"/>
  <c r="N82" i="13" a="1"/>
  <c r="N82" i="13" s="1"/>
  <c r="P82" i="13" s="1"/>
  <c r="N152" i="13" a="1"/>
  <c r="N152" i="13" s="1"/>
  <c r="P152" i="13" s="1"/>
  <c r="N101" i="13" a="1"/>
  <c r="N101" i="13" s="1"/>
  <c r="P101" i="13" s="1"/>
  <c r="N62" i="13" a="1"/>
  <c r="N62" i="13" s="1"/>
  <c r="P62" i="13" s="1"/>
  <c r="N42" i="13" a="1"/>
  <c r="N42" i="13" s="1"/>
  <c r="P42" i="13" s="1"/>
  <c r="N69" i="13" a="1"/>
  <c r="N69" i="13" s="1"/>
  <c r="P69" i="13" s="1"/>
  <c r="N146" i="13" a="1"/>
  <c r="N146" i="13" s="1"/>
  <c r="P146" i="13" s="1"/>
  <c r="N222" i="13" a="1"/>
  <c r="N222" i="13" s="1"/>
  <c r="P222" i="13" s="1"/>
  <c r="N16" i="13" a="1"/>
  <c r="N16" i="13" s="1"/>
  <c r="P16" i="13" s="1"/>
  <c r="N193" i="13" a="1"/>
  <c r="N193" i="13" s="1"/>
  <c r="P193" i="13" s="1"/>
  <c r="N28" i="13" a="1"/>
  <c r="N28" i="13" s="1"/>
  <c r="P28" i="13" s="1"/>
  <c r="N88" i="13" a="1"/>
  <c r="N88" i="13" s="1"/>
  <c r="P88" i="13" s="1"/>
  <c r="N39" i="13" a="1"/>
  <c r="N39" i="13" s="1"/>
  <c r="P39" i="13" s="1"/>
  <c r="N207" i="13" a="1"/>
  <c r="N207" i="13" s="1"/>
  <c r="P207" i="13" s="1"/>
  <c r="N170" i="13" a="1"/>
  <c r="N170" i="13" s="1"/>
  <c r="P170" i="13" s="1"/>
  <c r="N139" i="13" a="1"/>
  <c r="N139" i="13" s="1"/>
  <c r="P139" i="13" s="1"/>
  <c r="N74" i="13" a="1"/>
  <c r="N74" i="13" s="1"/>
  <c r="P74" i="13" s="1"/>
  <c r="O108" i="13"/>
  <c r="N191" i="13" a="1"/>
  <c r="N191" i="13" s="1"/>
  <c r="P191" i="13" s="1"/>
  <c r="N140" i="13" a="1"/>
  <c r="N140" i="13" s="1"/>
  <c r="P140" i="13" s="1"/>
  <c r="N85" i="13" a="1"/>
  <c r="N85" i="13" s="1"/>
  <c r="P85" i="13" s="1"/>
  <c r="N45" i="13" a="1"/>
  <c r="N45" i="13" s="1"/>
  <c r="P45" i="13" s="1"/>
  <c r="N66" i="13" a="1"/>
  <c r="N66" i="13" s="1"/>
  <c r="P66" i="13" s="1"/>
  <c r="N200" i="13" a="1"/>
  <c r="N200" i="13" s="1"/>
  <c r="P200" i="13" s="1"/>
  <c r="N167" i="13" a="1"/>
  <c r="N167" i="13" s="1"/>
  <c r="P167" i="13" s="1"/>
  <c r="N206" i="13" a="1"/>
  <c r="N206" i="13" s="1"/>
  <c r="P206" i="13" s="1"/>
  <c r="N54" i="13" a="1"/>
  <c r="N54" i="13" s="1"/>
  <c r="P54" i="13" s="1"/>
  <c r="N108" i="13" a="1"/>
  <c r="N108" i="13" s="1"/>
  <c r="N138" i="13" a="1"/>
  <c r="N138" i="13" s="1"/>
  <c r="P138" i="13" s="1"/>
  <c r="N175" i="13" a="1"/>
  <c r="N175" i="13" s="1"/>
  <c r="P175" i="13" s="1"/>
  <c r="N148" i="13" a="1"/>
  <c r="N148" i="13" s="1"/>
  <c r="P148" i="13" s="1"/>
  <c r="N58" i="13" a="1"/>
  <c r="N58" i="13" s="1"/>
  <c r="P58" i="13" s="1"/>
  <c r="N4" i="13" a="1"/>
  <c r="N4" i="13" s="1"/>
  <c r="P4" i="13" s="1"/>
  <c r="N55" i="13" a="1"/>
  <c r="N55" i="13" s="1"/>
  <c r="P55" i="13" s="1"/>
  <c r="N145" i="13" a="1"/>
  <c r="N145" i="13" s="1"/>
  <c r="P145" i="13" s="1"/>
  <c r="N99" i="13" a="1"/>
  <c r="N99" i="13" s="1"/>
  <c r="P99" i="13" s="1"/>
  <c r="N149" i="13" a="1"/>
  <c r="N149" i="13" s="1"/>
  <c r="P149" i="13" s="1"/>
  <c r="N211" i="13" a="1"/>
  <c r="N211" i="13" s="1"/>
  <c r="P211" i="13" s="1"/>
  <c r="N6" i="13" a="1"/>
  <c r="N6" i="13" s="1"/>
  <c r="P6" i="13" s="1"/>
  <c r="N198" i="13" a="1"/>
  <c r="N198" i="13" s="1"/>
  <c r="P198" i="13" s="1"/>
  <c r="N181" i="13" a="1"/>
  <c r="N181" i="13" s="1"/>
  <c r="P181" i="13" s="1"/>
  <c r="N35" i="13" a="1"/>
  <c r="N35" i="13" s="1"/>
  <c r="P35" i="13" s="1"/>
  <c r="N201" i="13" a="1"/>
  <c r="N201" i="13" s="1"/>
  <c r="P201" i="13" s="1"/>
  <c r="N87" i="13" a="1"/>
  <c r="N87" i="13" s="1"/>
  <c r="P87" i="13" s="1"/>
  <c r="N47" i="13" a="1"/>
  <c r="N47" i="13" s="1"/>
  <c r="P47" i="13" s="1"/>
  <c r="N63" i="13" a="1"/>
  <c r="N63" i="13" s="1"/>
  <c r="P63" i="13" s="1"/>
  <c r="N38" i="13" a="1"/>
  <c r="N38" i="13" s="1"/>
  <c r="P38" i="13" s="1"/>
  <c r="N84" i="13" a="1"/>
  <c r="N84" i="13" s="1"/>
  <c r="P84" i="13" s="1"/>
  <c r="N168" i="13" a="1"/>
  <c r="N168" i="13" s="1"/>
  <c r="P168" i="13" s="1"/>
  <c r="N218" i="13" a="1"/>
  <c r="N218" i="13" s="1"/>
  <c r="P218" i="13" s="1"/>
  <c r="N8" i="13" a="1"/>
  <c r="N8" i="13" s="1"/>
  <c r="P8" i="13" s="1"/>
  <c r="N188" i="13" a="1"/>
  <c r="N188" i="13" s="1"/>
  <c r="P188" i="13" s="1"/>
  <c r="N177" i="13" a="1"/>
  <c r="N177" i="13" s="1"/>
  <c r="P177" i="13" s="1"/>
  <c r="N179" i="13" a="1"/>
  <c r="N179" i="13" s="1"/>
  <c r="P179" i="13" s="1"/>
  <c r="N194" i="13" a="1"/>
  <c r="N194" i="13" s="1"/>
  <c r="P194" i="13" s="1"/>
  <c r="N120" i="13" a="1"/>
  <c r="N120" i="13" s="1"/>
  <c r="P120" i="13" s="1"/>
  <c r="N2" i="13" a="1"/>
  <c r="N2" i="13" s="1"/>
  <c r="P2" i="13" s="1"/>
  <c r="N113" i="13" a="1"/>
  <c r="N113" i="13" s="1"/>
  <c r="P113" i="13" s="1"/>
  <c r="N94" i="13" a="1"/>
  <c r="N94" i="13" s="1"/>
  <c r="P94" i="13" s="1"/>
  <c r="N3" i="13" a="1"/>
  <c r="N3" i="13" s="1"/>
  <c r="P3" i="13" s="1"/>
  <c r="N174" i="13" a="1"/>
  <c r="N174" i="13" s="1"/>
  <c r="P174" i="13" s="1"/>
  <c r="N11" i="13" a="1"/>
  <c r="N11" i="13" s="1"/>
  <c r="P11" i="13" s="1"/>
  <c r="N212" i="13" a="1"/>
  <c r="N212" i="13" s="1"/>
  <c r="P212" i="13" s="1"/>
  <c r="N81" i="13" a="1"/>
  <c r="N81" i="13" s="1"/>
  <c r="P81" i="13" s="1"/>
  <c r="N24" i="13" a="1"/>
  <c r="N24" i="13" s="1"/>
  <c r="P24" i="13" s="1"/>
  <c r="N36" i="13" a="1"/>
  <c r="N36" i="13" s="1"/>
  <c r="P36" i="13" s="1"/>
  <c r="N203" i="13" a="1"/>
  <c r="N203" i="13" s="1"/>
  <c r="P203" i="13" s="1"/>
  <c r="N137" i="13" a="1"/>
  <c r="N137" i="13" s="1"/>
  <c r="P137" i="13" s="1"/>
  <c r="N165" i="13" a="1"/>
  <c r="N165" i="13" s="1"/>
  <c r="P165" i="13" s="1"/>
  <c r="N71" i="13" a="1"/>
  <c r="N71" i="13" s="1"/>
  <c r="P71" i="13" s="1"/>
  <c r="N135" i="13" a="1"/>
  <c r="N135" i="13" s="1"/>
  <c r="P135" i="13" s="1"/>
  <c r="N60" i="13" a="1"/>
  <c r="N60" i="13" s="1"/>
  <c r="P60" i="13" s="1"/>
  <c r="N190" i="13" a="1"/>
  <c r="N190" i="13" s="1"/>
  <c r="P190" i="13" s="1"/>
  <c r="N31" i="13" a="1"/>
  <c r="N31" i="13" s="1"/>
  <c r="P31" i="13" s="1"/>
  <c r="N23" i="13" a="1"/>
  <c r="N23" i="13" s="1"/>
  <c r="P23" i="13" s="1"/>
  <c r="N129" i="13" a="1"/>
  <c r="N129" i="13" s="1"/>
  <c r="P129" i="13" s="1"/>
  <c r="N144" i="13" a="1"/>
  <c r="N144" i="13" s="1"/>
  <c r="P144" i="13" s="1"/>
  <c r="N173" i="13" a="1"/>
  <c r="N173" i="13" s="1"/>
  <c r="P173" i="13" s="1"/>
  <c r="N160" i="13" a="1"/>
  <c r="N160" i="13" s="1"/>
  <c r="P160" i="13" s="1"/>
  <c r="N98" i="13" a="1"/>
  <c r="N98" i="13" s="1"/>
  <c r="P98" i="13" s="1"/>
  <c r="N156" i="13" a="1"/>
  <c r="N156" i="13" s="1"/>
  <c r="P156" i="13" s="1"/>
  <c r="N37" i="13" a="1"/>
  <c r="N37" i="13" s="1"/>
  <c r="P37" i="13" s="1"/>
  <c r="N118" i="13" a="1"/>
  <c r="N118" i="13" s="1"/>
  <c r="P118" i="13" s="1"/>
  <c r="N164" i="13" a="1"/>
  <c r="N164" i="13" s="1"/>
  <c r="P164" i="13" s="1"/>
  <c r="N73" i="13" a="1"/>
  <c r="N73" i="13" s="1"/>
  <c r="P73" i="13" s="1"/>
  <c r="N33" i="13" a="1"/>
  <c r="N33" i="13" s="1"/>
  <c r="P33" i="13" s="1"/>
  <c r="N180" i="13" a="1"/>
  <c r="N180" i="13" s="1"/>
  <c r="P180" i="13" s="1"/>
  <c r="N199" i="13" a="1"/>
  <c r="N199" i="13" s="1"/>
  <c r="P199" i="13" s="1"/>
  <c r="N65" i="13" a="1"/>
  <c r="N65" i="13" s="1"/>
  <c r="P65" i="13" s="1"/>
  <c r="N133" i="13" a="1"/>
  <c r="N133" i="13" s="1"/>
  <c r="P133" i="13" s="1"/>
  <c r="N20" i="13" a="1"/>
  <c r="N20" i="13" s="1"/>
  <c r="P20" i="13" s="1"/>
  <c r="N213" i="13" a="1"/>
  <c r="N213" i="13" s="1"/>
  <c r="P213" i="13" s="1"/>
  <c r="N80" i="13" a="1"/>
  <c r="N80" i="13" s="1"/>
  <c r="P80" i="13" s="1"/>
  <c r="N53" i="13" a="1"/>
  <c r="N53" i="13" s="1"/>
  <c r="P53" i="13" s="1"/>
  <c r="N92" i="13" a="1"/>
  <c r="N92" i="13" s="1"/>
  <c r="P92" i="13" s="1"/>
  <c r="N97" i="13" a="1"/>
  <c r="N97" i="13" s="1"/>
  <c r="P97" i="13" s="1"/>
  <c r="N18" i="13" a="1"/>
  <c r="N18" i="13" s="1"/>
  <c r="P18" i="13" s="1"/>
  <c r="N204" i="13" a="1"/>
  <c r="N204" i="13" s="1"/>
  <c r="P204" i="13" s="1"/>
  <c r="N162" i="13" a="1"/>
  <c r="N162" i="13" s="1"/>
  <c r="P162" i="13" s="1"/>
  <c r="N19" i="13" a="1"/>
  <c r="N19" i="13" s="1"/>
  <c r="P19" i="13" s="1"/>
  <c r="N34" i="13" a="1"/>
  <c r="N34" i="13" s="1"/>
  <c r="P34" i="13" s="1"/>
  <c r="N124" i="13" a="1"/>
  <c r="N124" i="13" s="1"/>
  <c r="P124" i="13" s="1"/>
  <c r="N77" i="13" a="1"/>
  <c r="N77" i="13" s="1"/>
  <c r="P77" i="13" s="1"/>
  <c r="N224" i="13" a="1"/>
  <c r="N224" i="13" s="1"/>
  <c r="P224" i="13" s="1"/>
  <c r="N169" i="13" a="1"/>
  <c r="N169" i="13" s="1"/>
  <c r="P169" i="13" s="1"/>
  <c r="N86" i="13" a="1"/>
  <c r="N86" i="13" s="1"/>
  <c r="P86" i="13" s="1"/>
  <c r="N210" i="13" a="1"/>
  <c r="N210" i="13" s="1"/>
  <c r="P210" i="13" s="1"/>
  <c r="N122" i="13" a="1"/>
  <c r="N122" i="13" s="1"/>
  <c r="P122" i="13" s="1"/>
  <c r="N103" i="13" a="1"/>
  <c r="N103" i="13" s="1"/>
  <c r="P103" i="13" s="1"/>
  <c r="N147" i="13" a="1"/>
  <c r="N147" i="13" s="1"/>
  <c r="P147" i="13" s="1"/>
  <c r="N202" i="13" a="1"/>
  <c r="N202" i="13" s="1"/>
  <c r="P202" i="13" s="1"/>
  <c r="N83" i="13" a="1"/>
  <c r="N83" i="13" s="1"/>
  <c r="P83" i="13" s="1"/>
  <c r="N121" i="13" a="1"/>
  <c r="N121" i="13" s="1"/>
  <c r="P121" i="13" s="1"/>
  <c r="N155" i="13" a="1"/>
  <c r="N155" i="13" s="1"/>
  <c r="P155" i="13" s="1"/>
  <c r="N5" i="13" a="1"/>
  <c r="N5" i="13" s="1"/>
  <c r="P5" i="13" s="1"/>
  <c r="N70" i="13" a="1"/>
  <c r="N70" i="13" s="1"/>
  <c r="P70" i="13" s="1"/>
  <c r="N205" i="13" a="1"/>
  <c r="N205" i="13" s="1"/>
  <c r="P205" i="13" s="1"/>
  <c r="N151" i="13" a="1"/>
  <c r="N151" i="13" s="1"/>
  <c r="P151" i="13" s="1"/>
  <c r="N90" i="13" a="1"/>
  <c r="N90" i="13" s="1"/>
  <c r="P90" i="13" s="1"/>
  <c r="N159" i="13" a="1"/>
  <c r="N159" i="13" s="1"/>
  <c r="P159" i="13" s="1"/>
  <c r="N46" i="13" a="1"/>
  <c r="N46" i="13" s="1"/>
  <c r="P46" i="13" s="1"/>
  <c r="N125" i="13" a="1"/>
  <c r="N125" i="13" s="1"/>
  <c r="P125" i="13" s="1"/>
  <c r="N26" i="13" a="1"/>
  <c r="N26" i="13" s="1"/>
  <c r="P26" i="13" s="1"/>
  <c r="N116" i="13" a="1"/>
  <c r="N116" i="13" s="1"/>
  <c r="P116" i="13" s="1"/>
  <c r="N22" i="13" a="1"/>
  <c r="N22" i="13" s="1"/>
  <c r="P22" i="13" s="1"/>
  <c r="N105" i="13" a="1"/>
  <c r="N105" i="13" s="1"/>
  <c r="P105" i="13" s="1"/>
  <c r="N49" i="13" a="1"/>
  <c r="N49" i="13" s="1"/>
  <c r="P49" i="13" s="1"/>
  <c r="N182" i="13" a="1"/>
  <c r="N182" i="13" s="1"/>
  <c r="P182" i="13" s="1"/>
  <c r="N109" i="13" a="1"/>
  <c r="N109" i="13" s="1"/>
  <c r="P109" i="13" s="1"/>
  <c r="N43" i="13" a="1"/>
  <c r="N43" i="13" s="1"/>
  <c r="P43" i="13" s="1"/>
  <c r="N142" i="13" a="1"/>
  <c r="N142" i="13" s="1"/>
  <c r="P142" i="13" s="1"/>
  <c r="N178" i="13" a="1"/>
  <c r="N178" i="13" s="1"/>
  <c r="P178" i="13" s="1"/>
  <c r="N50" i="13" a="1"/>
  <c r="N50" i="13" s="1"/>
  <c r="P50" i="13" s="1"/>
  <c r="N219" i="13" a="1"/>
  <c r="N219" i="13" s="1"/>
  <c r="P219" i="13" s="1"/>
  <c r="N136" i="13" a="1"/>
  <c r="N136" i="13" s="1"/>
  <c r="P136" i="13" s="1"/>
  <c r="N186" i="13" a="1"/>
  <c r="N186" i="13" s="1"/>
  <c r="P186" i="13" s="1"/>
  <c r="N171" i="13" a="1"/>
  <c r="N171" i="13" s="1"/>
  <c r="P171" i="13" s="1"/>
  <c r="N12" i="13" a="1"/>
  <c r="N12" i="13" s="1"/>
  <c r="P12" i="13" s="1"/>
  <c r="N40" i="13" a="1"/>
  <c r="N40" i="13" s="1"/>
  <c r="P40" i="13" s="1"/>
  <c r="N209" i="13" a="1"/>
  <c r="N209" i="13" s="1"/>
  <c r="P209" i="13" s="1"/>
  <c r="N184" i="13" a="1"/>
  <c r="N184" i="13" s="1"/>
  <c r="P184" i="13" s="1"/>
  <c r="N161" i="13" a="1"/>
  <c r="N161" i="13" s="1"/>
  <c r="P161" i="13" s="1"/>
  <c r="N221" i="13" a="1"/>
  <c r="N221" i="13" s="1"/>
  <c r="P221" i="13" s="1"/>
  <c r="N158" i="13" a="1"/>
  <c r="N158" i="13" s="1"/>
  <c r="P158" i="13" s="1"/>
  <c r="N67" i="13" a="1"/>
  <c r="N67" i="13" s="1"/>
  <c r="P67" i="13" s="1"/>
  <c r="N157" i="13" a="1"/>
  <c r="N157" i="13" s="1"/>
  <c r="P157" i="13" s="1"/>
  <c r="N10" i="13" a="1"/>
  <c r="N10" i="13" s="1"/>
  <c r="P10" i="13" s="1"/>
  <c r="N223" i="13" a="1"/>
  <c r="N223" i="13" s="1"/>
  <c r="P223" i="13" s="1"/>
  <c r="N153" i="13" a="1"/>
  <c r="N153" i="13" s="1"/>
  <c r="P153" i="13" s="1"/>
  <c r="N25" i="13" a="1"/>
  <c r="N25" i="13" s="1"/>
  <c r="P25" i="13" s="1"/>
  <c r="N172" i="13" a="1"/>
  <c r="N172" i="13" s="1"/>
  <c r="P172" i="13" s="1"/>
  <c r="N96" i="13" a="1"/>
  <c r="N96" i="13" s="1"/>
  <c r="P96" i="13" s="1"/>
  <c r="N115" i="13" a="1"/>
  <c r="N115" i="13" s="1"/>
  <c r="P115" i="13" s="1"/>
  <c r="N215" i="13" a="1"/>
  <c r="N215" i="13" s="1"/>
  <c r="P215" i="13" s="1"/>
  <c r="N131" i="13" a="1"/>
  <c r="N131" i="13" s="1"/>
  <c r="P131" i="13" s="1"/>
  <c r="N134" i="13" a="1"/>
  <c r="N134" i="13" s="1"/>
  <c r="P134" i="13" s="1"/>
  <c r="N110" i="13" a="1"/>
  <c r="N110" i="13" s="1"/>
  <c r="P110" i="13" s="1"/>
  <c r="N189" i="13" a="1"/>
  <c r="N189" i="13" s="1"/>
  <c r="P189" i="13" s="1"/>
  <c r="N187" i="13" a="1"/>
  <c r="N187" i="13" s="1"/>
  <c r="P187" i="13" s="1"/>
  <c r="N104" i="13" a="1"/>
  <c r="N104" i="13" s="1"/>
  <c r="P104" i="13" s="1"/>
  <c r="N64" i="13" a="1"/>
  <c r="N64" i="13" s="1"/>
  <c r="P64" i="13" s="1"/>
  <c r="N59" i="13" a="1"/>
  <c r="N59" i="13" s="1"/>
  <c r="P59" i="13" s="1"/>
  <c r="N166" i="13" a="1"/>
  <c r="N166" i="13" s="1"/>
  <c r="P166" i="13" s="1"/>
  <c r="N111" i="13" a="1"/>
  <c r="N111" i="13" s="1"/>
  <c r="P111" i="13" s="1"/>
  <c r="N208" i="13" a="1"/>
  <c r="N208" i="13" s="1"/>
  <c r="P208" i="13" s="1"/>
  <c r="N197" i="13" a="1"/>
  <c r="N197" i="13" s="1"/>
  <c r="P197" i="13" s="1"/>
  <c r="N112" i="13" a="1"/>
  <c r="N112" i="13" s="1"/>
  <c r="P112" i="13" s="1"/>
  <c r="N106" i="13" a="1"/>
  <c r="N106" i="13" s="1"/>
  <c r="P106" i="13" s="1"/>
  <c r="N91" i="13" a="1"/>
  <c r="N91" i="13" s="1"/>
  <c r="P91" i="13" s="1"/>
  <c r="N29" i="13" a="1"/>
  <c r="N29" i="13" s="1"/>
  <c r="P29" i="13" s="1"/>
  <c r="N57" i="13" a="1"/>
  <c r="N57" i="13" s="1"/>
  <c r="P57" i="13" s="1"/>
  <c r="N44" i="13" a="1"/>
  <c r="N44" i="13" s="1"/>
  <c r="P44" i="13" s="1"/>
  <c r="N163" i="13" a="1"/>
  <c r="N163" i="13" s="1"/>
  <c r="P163" i="13" s="1"/>
  <c r="N95" i="13" a="1"/>
  <c r="N95" i="13" s="1"/>
  <c r="P95" i="13" s="1"/>
  <c r="N102" i="13" a="1"/>
  <c r="N102" i="13" s="1"/>
  <c r="P102" i="13" s="1"/>
  <c r="N220" i="13" a="1"/>
  <c r="N220" i="13" s="1"/>
  <c r="P220" i="13" s="1"/>
  <c r="N15" i="13" a="1"/>
  <c r="N15" i="13" s="1"/>
  <c r="P15" i="13" s="1"/>
  <c r="N30" i="13" a="1"/>
  <c r="N30" i="13" s="1"/>
  <c r="P30" i="13" s="1"/>
  <c r="N195" i="13" a="1"/>
  <c r="N195" i="13" s="1"/>
  <c r="P195" i="13" s="1"/>
  <c r="N214" i="13" a="1"/>
  <c r="N214" i="13" s="1"/>
  <c r="P214" i="13" s="1"/>
  <c r="N150" i="13" a="1"/>
  <c r="N150" i="13" s="1"/>
  <c r="P150" i="13" s="1"/>
  <c r="N79" i="13" a="1"/>
  <c r="N79" i="13" s="1"/>
  <c r="P79" i="13" s="1"/>
  <c r="N217" i="13" a="1"/>
  <c r="N217" i="13" s="1"/>
  <c r="P217" i="13" s="1"/>
  <c r="N141" i="13" a="1"/>
  <c r="N141" i="13" s="1"/>
  <c r="P141" i="13" s="1"/>
  <c r="N72" i="13" a="1"/>
  <c r="N72" i="13" s="1"/>
  <c r="P72" i="13" s="1"/>
  <c r="N127" i="13" a="1"/>
  <c r="N127" i="13" s="1"/>
  <c r="P127" i="13" s="1"/>
  <c r="N93" i="13" a="1"/>
  <c r="N93" i="13" s="1"/>
  <c r="P93" i="13" s="1"/>
  <c r="N128" i="13" a="1"/>
  <c r="N128" i="13" s="1"/>
  <c r="P128" i="13" s="1"/>
  <c r="N51" i="13" a="1"/>
  <c r="N51" i="13" s="1"/>
  <c r="P51" i="13" s="1"/>
  <c r="N183" i="13" a="1"/>
  <c r="N183" i="13" s="1"/>
  <c r="P183" i="13" s="1"/>
  <c r="N143" i="13" a="1"/>
  <c r="N143" i="13" s="1"/>
  <c r="P143" i="13" s="1"/>
  <c r="P108" i="1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<sst xmlns="http://schemas.openxmlformats.org/spreadsheetml/2006/main" count="3095" uniqueCount="633">
  <si>
    <t>現金</t>
  </si>
  <si>
    <t>対象外</t>
  </si>
  <si>
    <t>売上高</t>
  </si>
  <si>
    <t>雑収入</t>
  </si>
  <si>
    <t>仕入高</t>
  </si>
  <si>
    <t>修繕費</t>
  </si>
  <si>
    <t>買掛金</t>
  </si>
  <si>
    <t>減価償却費</t>
  </si>
  <si>
    <t>売掛金</t>
  </si>
  <si>
    <t>受取手形</t>
  </si>
  <si>
    <t>国際送料</t>
  </si>
  <si>
    <t>PO-0007</t>
  </si>
  <si>
    <t>PO-0009</t>
  </si>
  <si>
    <t>PO-0004</t>
  </si>
  <si>
    <t>PO-0011</t>
  </si>
  <si>
    <t>PO-0012</t>
  </si>
  <si>
    <t>PO-0013</t>
  </si>
  <si>
    <t>PO-0014</t>
  </si>
  <si>
    <t>PO-0015</t>
  </si>
  <si>
    <t>PO-0016</t>
  </si>
  <si>
    <t>PO-0017</t>
  </si>
  <si>
    <t>DQS2945757EQ</t>
  </si>
  <si>
    <t>DQS2945758EQ</t>
  </si>
  <si>
    <t>PO-0019</t>
  </si>
  <si>
    <t>研究開発費</t>
  </si>
  <si>
    <t>発生日</t>
  </si>
  <si>
    <t>備考</t>
  </si>
  <si>
    <t>PO-0004</t>
    <phoneticPr fontId="18"/>
  </si>
  <si>
    <t>PO-0005</t>
    <phoneticPr fontId="18"/>
  </si>
  <si>
    <t>商品代金</t>
  </si>
  <si>
    <t>PO-0001</t>
  </si>
  <si>
    <t>PO-0002</t>
  </si>
  <si>
    <t>PO-0003</t>
  </si>
  <si>
    <t>PO-0020</t>
  </si>
  <si>
    <t>PO-0022</t>
  </si>
  <si>
    <t>DQS2952404EQ</t>
  </si>
  <si>
    <t>DQS2951954EQ</t>
  </si>
  <si>
    <t>DQS2954260EQ</t>
  </si>
  <si>
    <t>PO-0024</t>
  </si>
  <si>
    <t>PO-0025</t>
  </si>
  <si>
    <t>PO-0026</t>
  </si>
  <si>
    <t>DQS2958567EQ</t>
  </si>
  <si>
    <t>DQS2960266EQ</t>
  </si>
  <si>
    <t>DQS2962481EQ</t>
  </si>
  <si>
    <t>PO-0032</t>
  </si>
  <si>
    <t>PO-0031</t>
  </si>
  <si>
    <t>PO-0035</t>
  </si>
  <si>
    <t>PO-0036</t>
  </si>
  <si>
    <t>仕入割戻し高</t>
  </si>
  <si>
    <t>支出</t>
  </si>
  <si>
    <t>決済口座</t>
  </si>
  <si>
    <t>品目</t>
  </si>
  <si>
    <t>金額</t>
  </si>
  <si>
    <t>税区分</t>
  </si>
  <si>
    <t>勘定科目</t>
  </si>
  <si>
    <t>収支区分</t>
  </si>
  <si>
    <t>売上戻り高</t>
  </si>
  <si>
    <t>売上値引高</t>
  </si>
  <si>
    <t>販売手数料</t>
  </si>
  <si>
    <t>荷造運賃</t>
  </si>
  <si>
    <t>広告宣伝費</t>
  </si>
  <si>
    <t>地代家賃</t>
  </si>
  <si>
    <t>諸会費</t>
  </si>
  <si>
    <t>支払手数料</t>
  </si>
  <si>
    <t>仮払金</t>
  </si>
  <si>
    <t>Amazon出品アカウント</t>
  </si>
  <si>
    <t>商品</t>
  </si>
  <si>
    <t>元金額</t>
    <rPh sb="0" eb="1">
      <t>ゲン</t>
    </rPh>
    <rPh sb="1" eb="3">
      <t>キンガク</t>
    </rPh>
    <phoneticPr fontId="18"/>
  </si>
  <si>
    <t>為替レート</t>
    <rPh sb="0" eb="2">
      <t>カワセ</t>
    </rPh>
    <phoneticPr fontId="18"/>
  </si>
  <si>
    <t>中国国内送料</t>
  </si>
  <si>
    <t>ESPRIME</t>
  </si>
  <si>
    <t>表示名（決算書）</t>
  </si>
  <si>
    <t>小分類</t>
  </si>
  <si>
    <t>中分類</t>
  </si>
  <si>
    <t>大分類</t>
  </si>
  <si>
    <t>収入取引相手方勘定科目</t>
  </si>
  <si>
    <t>支出取引相手方勘定科目</t>
  </si>
  <si>
    <t>ショートカット1</t>
  </si>
  <si>
    <t>ショートカット2</t>
  </si>
  <si>
    <t>入力候補</t>
  </si>
  <si>
    <t>現金・預金</t>
  </si>
  <si>
    <t>流動資産</t>
  </si>
  <si>
    <t>資産</t>
  </si>
  <si>
    <t>未収入金</t>
  </si>
  <si>
    <t>未払金</t>
  </si>
  <si>
    <t>GENKIN</t>
  </si>
  <si>
    <t>YES</t>
  </si>
  <si>
    <t>楽天銀行（個人ビジネス） 239 スネア支店 普通 ***8237</t>
  </si>
  <si>
    <t>その他預金</t>
  </si>
  <si>
    <t>THE直行便</t>
  </si>
  <si>
    <t>PayPay銀行 005 普通 ***6264</t>
  </si>
  <si>
    <t>楽天銀行</t>
  </si>
  <si>
    <t>未払費用</t>
  </si>
  <si>
    <t>YP</t>
  </si>
  <si>
    <t>PayPay銀行</t>
  </si>
  <si>
    <t>売上債権</t>
  </si>
  <si>
    <t>UKETORI</t>
  </si>
  <si>
    <t>不渡手形</t>
  </si>
  <si>
    <t>FUWATARI</t>
  </si>
  <si>
    <t>URIKAKE</t>
  </si>
  <si>
    <t>MISHUUNY</t>
  </si>
  <si>
    <t>有価証券</t>
  </si>
  <si>
    <t>YUUKASHO</t>
  </si>
  <si>
    <t>開業費</t>
  </si>
  <si>
    <t>繰延資産</t>
  </si>
  <si>
    <t>課対仕入</t>
  </si>
  <si>
    <t>KAIGYOU</t>
  </si>
  <si>
    <t>権利金</t>
  </si>
  <si>
    <t>KENRIKIN</t>
  </si>
  <si>
    <t>棚卸資産</t>
  </si>
  <si>
    <t>SHOUHIN</t>
  </si>
  <si>
    <t>製品</t>
  </si>
  <si>
    <t>SEIHIN</t>
  </si>
  <si>
    <t>半製品</t>
  </si>
  <si>
    <t>HANSEIHI</t>
  </si>
  <si>
    <t>仕掛品</t>
  </si>
  <si>
    <t>SHIKAKAR</t>
  </si>
  <si>
    <t>原材料</t>
  </si>
  <si>
    <t>GENZAIRY</t>
  </si>
  <si>
    <t>貯蔵品</t>
  </si>
  <si>
    <t>CHOZOUHI</t>
  </si>
  <si>
    <t>副産物作業くず</t>
  </si>
  <si>
    <t>FUKUSAN</t>
  </si>
  <si>
    <t>事業主貸</t>
  </si>
  <si>
    <t>JIGYOU</t>
  </si>
  <si>
    <t>資産譲渡損</t>
  </si>
  <si>
    <t>SHISANJO</t>
  </si>
  <si>
    <t>[確]支払医療費</t>
  </si>
  <si>
    <t>SHIHAIRYOU</t>
  </si>
  <si>
    <t>NO</t>
  </si>
  <si>
    <t>[確]社会保険料</t>
  </si>
  <si>
    <t>SHAHO</t>
  </si>
  <si>
    <t>[確]小規模企業等掛金</t>
  </si>
  <si>
    <t>SHOKIBO</t>
  </si>
  <si>
    <t>前払金</t>
  </si>
  <si>
    <t>他流動資産</t>
  </si>
  <si>
    <t>MAEBARAI</t>
  </si>
  <si>
    <t>前払費用</t>
  </si>
  <si>
    <t>立替金</t>
  </si>
  <si>
    <t>TATEKAE</t>
  </si>
  <si>
    <t>KARIBARA</t>
  </si>
  <si>
    <t>建設仮勘定</t>
  </si>
  <si>
    <t>KENSETSU</t>
  </si>
  <si>
    <t>短期貸付金</t>
  </si>
  <si>
    <t>TANKIKAS</t>
  </si>
  <si>
    <t>未収収益</t>
  </si>
  <si>
    <t>MISHUUSH</t>
  </si>
  <si>
    <t>預け金</t>
  </si>
  <si>
    <t>貸付金</t>
  </si>
  <si>
    <t>AZUKEKIN</t>
  </si>
  <si>
    <t>仮払消費税</t>
  </si>
  <si>
    <t>複合</t>
  </si>
  <si>
    <t>諸口</t>
  </si>
  <si>
    <t>FUKUGO</t>
  </si>
  <si>
    <t>Amazon仮勘定</t>
  </si>
  <si>
    <t>未確定勘定</t>
  </si>
  <si>
    <t>未設定</t>
  </si>
  <si>
    <t>未選択</t>
  </si>
  <si>
    <t>MIKAKUTE</t>
  </si>
  <si>
    <t>建物</t>
  </si>
  <si>
    <t>有形固定資産</t>
  </si>
  <si>
    <t>固定資産</t>
  </si>
  <si>
    <t>TATEMONO</t>
  </si>
  <si>
    <t>附属設備</t>
  </si>
  <si>
    <t>FUZOKUSE</t>
  </si>
  <si>
    <t>構築物</t>
  </si>
  <si>
    <t>KOUCHIKU</t>
  </si>
  <si>
    <t>機械装置</t>
  </si>
  <si>
    <t>KIKAISO</t>
  </si>
  <si>
    <t>車両運搬具</t>
  </si>
  <si>
    <t>SHARYOU</t>
  </si>
  <si>
    <t>工具器具備品</t>
  </si>
  <si>
    <t>KOUGUKI</t>
  </si>
  <si>
    <t>土地</t>
  </si>
  <si>
    <t>TOCHI</t>
  </si>
  <si>
    <t>一括償却資産</t>
  </si>
  <si>
    <t>IKKATSUS</t>
  </si>
  <si>
    <t>電話加入権</t>
  </si>
  <si>
    <t>その他固定資産</t>
  </si>
  <si>
    <t>無形固定資産</t>
  </si>
  <si>
    <t>DENWA</t>
  </si>
  <si>
    <t>施設利用権</t>
  </si>
  <si>
    <t>SHISETSU</t>
  </si>
  <si>
    <t>工業所有権</t>
  </si>
  <si>
    <t>KOUGYOU</t>
  </si>
  <si>
    <t>借地権</t>
  </si>
  <si>
    <t>SHAKUCHI</t>
  </si>
  <si>
    <t>ソフトウェア</t>
  </si>
  <si>
    <t>SOFUTO</t>
  </si>
  <si>
    <t>投資有価証券</t>
  </si>
  <si>
    <t>その他資産</t>
  </si>
  <si>
    <t>投資等</t>
  </si>
  <si>
    <t>TOUSHIYU</t>
  </si>
  <si>
    <t>出資金</t>
  </si>
  <si>
    <t>SHUSSHI</t>
  </si>
  <si>
    <t>敷金</t>
  </si>
  <si>
    <t>SHIKIKIN</t>
  </si>
  <si>
    <t>長期貸付金</t>
  </si>
  <si>
    <t>CHOUKIKA</t>
  </si>
  <si>
    <t>破産更生債権</t>
  </si>
  <si>
    <t>HASANKOU</t>
  </si>
  <si>
    <t>長期前払費用</t>
  </si>
  <si>
    <t>CHOUKIMA</t>
  </si>
  <si>
    <t>長期固定性預金</t>
  </si>
  <si>
    <t>CHOUKIKO</t>
  </si>
  <si>
    <t>差入保証金</t>
  </si>
  <si>
    <t>SASHIIRE</t>
  </si>
  <si>
    <t>預託金</t>
  </si>
  <si>
    <t>YOTAKU</t>
  </si>
  <si>
    <t>支払手形</t>
  </si>
  <si>
    <t>仕入債務</t>
  </si>
  <si>
    <t>流動負債</t>
  </si>
  <si>
    <t>負債</t>
  </si>
  <si>
    <t>SHIHARAI</t>
  </si>
  <si>
    <t>設備支払手形</t>
  </si>
  <si>
    <t>SETSUBI</t>
  </si>
  <si>
    <t>割引手形</t>
  </si>
  <si>
    <t>WARIBIKI</t>
  </si>
  <si>
    <t>裏書手形</t>
  </si>
  <si>
    <t>URAGAKI</t>
  </si>
  <si>
    <t>KAIKAKE</t>
  </si>
  <si>
    <t>短期借入金</t>
  </si>
  <si>
    <t>他流動負債</t>
  </si>
  <si>
    <t>TANKIKAR</t>
  </si>
  <si>
    <t>MIHARAIK</t>
  </si>
  <si>
    <t>MIHARAIH</t>
  </si>
  <si>
    <t>未払消費税</t>
  </si>
  <si>
    <t>MIHARAIS</t>
  </si>
  <si>
    <t>PayPay銀行VISAデビット</t>
  </si>
  <si>
    <t>前受金</t>
  </si>
  <si>
    <t>MAEUKEKI</t>
  </si>
  <si>
    <t>NTTファイナンスBizカード</t>
  </si>
  <si>
    <t>前受収益</t>
  </si>
  <si>
    <t>MAEUKESH</t>
  </si>
  <si>
    <t>仮受金</t>
  </si>
  <si>
    <t>KARIUKEK</t>
  </si>
  <si>
    <t>預り保証金</t>
  </si>
  <si>
    <t>AZUKARIH</t>
  </si>
  <si>
    <t>預り金</t>
  </si>
  <si>
    <t>AZUKARIK</t>
  </si>
  <si>
    <t>保証金・敷金</t>
  </si>
  <si>
    <t>HOSHOKINSHIKIKIN</t>
  </si>
  <si>
    <t>貸倒引当金</t>
  </si>
  <si>
    <t>KASHIDAO</t>
  </si>
  <si>
    <t>仮受消費税</t>
  </si>
  <si>
    <t>課税売上</t>
  </si>
  <si>
    <t>KARIUKES</t>
  </si>
  <si>
    <t>長期借入金</t>
  </si>
  <si>
    <t>固定負債</t>
  </si>
  <si>
    <t>長期未払金</t>
  </si>
  <si>
    <t>CHOUKIMI</t>
  </si>
  <si>
    <t>事業主借</t>
  </si>
  <si>
    <t>受取利息</t>
  </si>
  <si>
    <t>UKETORIR</t>
  </si>
  <si>
    <t>受取配当金</t>
  </si>
  <si>
    <t>UKETORIH</t>
  </si>
  <si>
    <t>[確]利子収入</t>
  </si>
  <si>
    <t>RISHISHU</t>
  </si>
  <si>
    <t>[確]配当収入</t>
  </si>
  <si>
    <t>HAITOSHU</t>
  </si>
  <si>
    <t>[確]給与収入</t>
  </si>
  <si>
    <t>KYUYOSHU</t>
  </si>
  <si>
    <t>[確]雑収入（公的年金等）</t>
  </si>
  <si>
    <t>ZATHUSHUP</t>
  </si>
  <si>
    <t>[確]雑収入（その他）</t>
  </si>
  <si>
    <t>ZATHUSHUO</t>
  </si>
  <si>
    <t>[確]総合譲渡収入（短期）</t>
  </si>
  <si>
    <t>SOUJYOSHUS</t>
  </si>
  <si>
    <t>[確]総合譲渡収入（長期）</t>
  </si>
  <si>
    <t>SOUJYOSHUL</t>
  </si>
  <si>
    <t>[確]一時収入</t>
  </si>
  <si>
    <t>ITHIJISHU</t>
  </si>
  <si>
    <t>[確]保険金補填（医療費）</t>
  </si>
  <si>
    <t>HOKENKIN</t>
  </si>
  <si>
    <t>元入金</t>
  </si>
  <si>
    <t>資本</t>
  </si>
  <si>
    <t>MOTOIRE</t>
  </si>
  <si>
    <t>損益</t>
  </si>
  <si>
    <t>税引前所得処分</t>
  </si>
  <si>
    <t>振替</t>
  </si>
  <si>
    <t>収入金額</t>
  </si>
  <si>
    <t>URIAGE</t>
  </si>
  <si>
    <t>課税売返</t>
  </si>
  <si>
    <t>URIAGENE</t>
  </si>
  <si>
    <t>URIAGEMO</t>
  </si>
  <si>
    <t>家事消費等</t>
  </si>
  <si>
    <t>KAJISHOU</t>
  </si>
  <si>
    <t>事業分量配当金</t>
  </si>
  <si>
    <t>JIGYOUBU</t>
  </si>
  <si>
    <t>ZATSUSHU</t>
  </si>
  <si>
    <t>為替差損益</t>
  </si>
  <si>
    <t>仕入割引</t>
  </si>
  <si>
    <t>課対仕返</t>
  </si>
  <si>
    <t>SHIIREWA</t>
  </si>
  <si>
    <t>前年度繰越収益</t>
  </si>
  <si>
    <t>ZENNEN</t>
  </si>
  <si>
    <t>期首商品棚卸高</t>
  </si>
  <si>
    <t>売上原価</t>
  </si>
  <si>
    <t>KISHUSHO</t>
  </si>
  <si>
    <t>SHIIREDA</t>
  </si>
  <si>
    <t>仕入値引高</t>
  </si>
  <si>
    <t>SHIIRENE</t>
  </si>
  <si>
    <t>仕入戻し高</t>
  </si>
  <si>
    <t>SHIIREMO</t>
  </si>
  <si>
    <t>期末商品棚卸高</t>
  </si>
  <si>
    <t>KIMATSUS</t>
  </si>
  <si>
    <t>前年度繰越費用</t>
  </si>
  <si>
    <t>期首製品棚卸高</t>
  </si>
  <si>
    <t>製品売上原価</t>
  </si>
  <si>
    <t>KISHUSEI</t>
  </si>
  <si>
    <t>期末製品棚卸高</t>
  </si>
  <si>
    <t>研修費</t>
  </si>
  <si>
    <t>その他経費</t>
  </si>
  <si>
    <t>経費</t>
  </si>
  <si>
    <t>KENSHU</t>
  </si>
  <si>
    <t>租税公課</t>
  </si>
  <si>
    <t>SOZEI</t>
  </si>
  <si>
    <t>NIZUKURI</t>
  </si>
  <si>
    <t>運賃</t>
  </si>
  <si>
    <t>UNCHIN</t>
  </si>
  <si>
    <t>水道光熱費</t>
  </si>
  <si>
    <t>SUIDOU</t>
  </si>
  <si>
    <t>燃料費</t>
  </si>
  <si>
    <t>NENRYOU</t>
  </si>
  <si>
    <t>旅費交通費</t>
  </si>
  <si>
    <t>RYOHI</t>
  </si>
  <si>
    <t>通信費</t>
  </si>
  <si>
    <t>TSUUSHIN</t>
  </si>
  <si>
    <t>KOUKOKU</t>
  </si>
  <si>
    <t>HANBAITE</t>
  </si>
  <si>
    <t>販売促進費</t>
  </si>
  <si>
    <t>HANBAISO</t>
  </si>
  <si>
    <t>交際費</t>
  </si>
  <si>
    <t>KOUSAI</t>
  </si>
  <si>
    <t>保険料</t>
  </si>
  <si>
    <t>HOKEN</t>
  </si>
  <si>
    <t>SHUUZEN</t>
  </si>
  <si>
    <t>消耗品費</t>
  </si>
  <si>
    <t>SHOUMOU</t>
  </si>
  <si>
    <t>事務用品費</t>
  </si>
  <si>
    <t>JIMUYOU</t>
  </si>
  <si>
    <t>GENKASHO</t>
  </si>
  <si>
    <t>長期前払費用償却</t>
  </si>
  <si>
    <t>繰延資産償却</t>
  </si>
  <si>
    <t>KURINOBE</t>
  </si>
  <si>
    <t>福利厚生費</t>
  </si>
  <si>
    <t>FUKURI</t>
  </si>
  <si>
    <t>法定福利費</t>
  </si>
  <si>
    <t>HOUTEI</t>
  </si>
  <si>
    <t>退職金掛金</t>
  </si>
  <si>
    <t>TAISHOKU</t>
  </si>
  <si>
    <t>給料手当</t>
  </si>
  <si>
    <t>KYUURYOU</t>
  </si>
  <si>
    <t>賞与</t>
  </si>
  <si>
    <t>SHOUYO</t>
  </si>
  <si>
    <t>雑給</t>
  </si>
  <si>
    <t>ZAKKYUU</t>
  </si>
  <si>
    <t>退職金</t>
  </si>
  <si>
    <t>外注費</t>
  </si>
  <si>
    <t>GAICHUU</t>
  </si>
  <si>
    <t>支払利息</t>
  </si>
  <si>
    <t>割引料</t>
  </si>
  <si>
    <t>CHIDAI</t>
  </si>
  <si>
    <t>貸倒損失</t>
  </si>
  <si>
    <t>課税売倒</t>
  </si>
  <si>
    <t>Amazon手数料</t>
  </si>
  <si>
    <t>賃借料</t>
  </si>
  <si>
    <t>リース料</t>
  </si>
  <si>
    <t>CHINSHAK</t>
  </si>
  <si>
    <t>RI-SU</t>
  </si>
  <si>
    <t>車両費</t>
  </si>
  <si>
    <t>採用教育費</t>
  </si>
  <si>
    <t>SAIYOU</t>
  </si>
  <si>
    <t>会議費</t>
  </si>
  <si>
    <t>KAIGI</t>
  </si>
  <si>
    <t>新聞図書費</t>
  </si>
  <si>
    <t>SHINBUN</t>
  </si>
  <si>
    <t>SHOKAIHI</t>
  </si>
  <si>
    <t>取材費</t>
  </si>
  <si>
    <t>SHUZAIHI</t>
  </si>
  <si>
    <t>売上割引</t>
  </si>
  <si>
    <t>雑費</t>
  </si>
  <si>
    <t>URIAGEWA</t>
  </si>
  <si>
    <t>KENKYU</t>
  </si>
  <si>
    <t>雑損失</t>
  </si>
  <si>
    <t>ZATSUSON</t>
  </si>
  <si>
    <t>研修採用費</t>
  </si>
  <si>
    <t>ZAPPI</t>
  </si>
  <si>
    <t>貸倒引当金戻入</t>
  </si>
  <si>
    <t>繰戻額等</t>
  </si>
  <si>
    <t>専従者給与</t>
  </si>
  <si>
    <t>繰入額等</t>
  </si>
  <si>
    <t>SENJUU</t>
  </si>
  <si>
    <t>貸倒引当金繰入</t>
  </si>
  <si>
    <t>補助科目優先タグ</t>
  </si>
  <si>
    <r>
      <rPr>
        <sz val="10"/>
        <color rgb="FF000000"/>
        <rFont val="ＭＳ Ｐゴシック"/>
        <family val="2"/>
        <charset val="128"/>
      </rPr>
      <t>元残高</t>
    </r>
    <rPh sb="0" eb="1">
      <t>ゲン</t>
    </rPh>
    <rPh sb="1" eb="3">
      <t>ザンダカ</t>
    </rPh>
    <phoneticPr fontId="18"/>
  </si>
  <si>
    <t>円残高</t>
    <rPh sb="0" eb="1">
      <t>エン</t>
    </rPh>
    <rPh sb="1" eb="3">
      <t>ザンダカ</t>
    </rPh>
    <phoneticPr fontId="18"/>
  </si>
  <si>
    <t>支出</t>
    <phoneticPr fontId="18"/>
  </si>
  <si>
    <t>PO-0006</t>
    <phoneticPr fontId="18"/>
  </si>
  <si>
    <t>PO-0009</t>
    <phoneticPr fontId="18"/>
  </si>
  <si>
    <t>PO-0008</t>
    <phoneticPr fontId="18"/>
  </si>
  <si>
    <r>
      <rPr>
        <sz val="10"/>
        <color rgb="FF000000"/>
        <rFont val="ＭＳ Ｐゴシック"/>
        <family val="2"/>
        <charset val="128"/>
      </rPr>
      <t>配賦</t>
    </r>
    <r>
      <rPr>
        <sz val="10"/>
        <color rgb="FF000000"/>
        <rFont val="Arial"/>
        <family val="2"/>
      </rPr>
      <t>ID</t>
    </r>
    <rPh sb="0" eb="2">
      <t>ハイフ</t>
    </rPh>
    <phoneticPr fontId="18"/>
  </si>
  <si>
    <t>メモタグ</t>
    <phoneticPr fontId="18"/>
  </si>
  <si>
    <t>alloc_shipment</t>
  </si>
  <si>
    <t>alloc_po</t>
  </si>
  <si>
    <t>為替差損益</t>
    <phoneticPr fontId="18"/>
  </si>
  <si>
    <t>食事用スタイサンプル 工場1 {16.4元 * 19.39円/元, PO-0004}</t>
  </si>
  <si>
    <t>食事用スタイサンプル 工場2 {15.8元 * 19.39円/元, PO-0004}</t>
  </si>
  <si>
    <t>食事用スタイサンプル 工場3 {15.1元 * 19.39円/元, PO-0004}</t>
  </si>
  <si>
    <t>食事用スタイサンプル 工場4 {17元 * 19.66円/元, PO-0004}</t>
  </si>
  <si>
    <t>食事用スタイサンプル 工場6 {16.2元 * 19.39円/元, PO-0004}</t>
  </si>
  <si>
    <t>食事用スタイサンプル 工場7 {13.8元 * 19.39円/元, PO-0004}</t>
  </si>
  <si>
    <t>食事用スタイサンプル 工場8 {18.6元 * 19.39円/元, PO-0004}</t>
  </si>
  <si>
    <t>食事用スタイサンプル 工場10 {19元 * 19.39円/元, PO-0004}</t>
  </si>
  <si>
    <t>食事用スタイサンプル 工場11 {12.8元 * 19.39円/元, PO-0004}</t>
  </si>
  <si>
    <t>食事用スタイサンプル 工場12 {19元 * 19.39円/元, PO-0004}</t>
  </si>
  <si>
    <t>洗濯タグサンプル500個 {125元 * 20.55円/元, PO-0005}</t>
  </si>
  <si>
    <t>食事用スタイサンプル {200元 * 20.7円/元, PO-0006}</t>
  </si>
  <si>
    <t>洗濯タグを工場に発送する国内送料 {13元 * 20.7円/元, PO-0006}</t>
  </si>
  <si>
    <t>洗濯タグ(pu) 500個 本発注 {125元 * 20.15円/元, PO-0007}</t>
  </si>
  <si>
    <t>ジュエリーパッケージ箱サンプル {39元 * 20.92円/元, PO-0009}</t>
  </si>
  <si>
    <t>ジュエリーパッケージ箱サンプル {6.4元 * 20.92円/元, PO-0009}</t>
  </si>
  <si>
    <t>ジュエリーパッケージ箱サンプル {8元 * 20.92円/元, PO-0009}</t>
  </si>
  <si>
    <t>ジュエリーパッケージ箱サンプル {82元 * 20.92円/元, PO-0009}</t>
  </si>
  <si>
    <t>ジュエリーパッケージ箱サンプル {7.2元 * 20.92円/元, PO-0009}</t>
  </si>
  <si>
    <t>食事エプロンのOEMサンプル {215元 * 20.92円/元, PO-0008}</t>
  </si>
  <si>
    <t>洗濯タグを工場に発送する国内送料 {18元 * 20.95円/元, PO-0008}</t>
  </si>
  <si>
    <t>お食事エプロンPU袖なし 本発注 {2655元 * 21.06円/元, PO-0011}</t>
  </si>
  <si>
    <t>サンプル国際送料 OCS お食事エプロンPU袖なし 2024.4.3 {126元 * 21.68円/元, }</t>
  </si>
  <si>
    <t>サンプル国際送料 OCS ジュエリーパッケージ箱サンプル 2024.4.3 {58元 * 21.68円/元, }</t>
  </si>
  <si>
    <t>検品梱包</t>
  </si>
  <si>
    <t>PO-0010</t>
    <phoneticPr fontId="18"/>
  </si>
  <si>
    <t>26016154592</t>
    <phoneticPr fontId="18"/>
  </si>
  <si>
    <t>ジュエリーパッケージ箱OEM サンプル {1030元 * 21.48円/元, PO-0010}</t>
  </si>
  <si>
    <t>お食事エプロンPU袖なし 13個 0.2h*25元 {5元 * 21.66円/元, PO-0011}</t>
  </si>
  <si>
    <t>食事エプロン 3個 返金 {-31.5元 * 21.56円/元, PO-0011}</t>
  </si>
  <si>
    <t>お食事エプロンPU袖なし 150個 {1595元 * 22.05円/元, PO-0012}</t>
  </si>
  <si>
    <t>サンプル国際送料 ジュエリーパッケージ箱OEM　500個　2024.6.17 {390元 * 22.2円/元, 26019113595}</t>
  </si>
  <si>
    <r>
      <rPr>
        <sz val="10"/>
        <color rgb="FF0000FF"/>
        <rFont val="ＭＳ Ｐゴシック"/>
        <family val="2"/>
        <charset val="128"/>
      </rPr>
      <t>サンプル国際送料　</t>
    </r>
    <r>
      <rPr>
        <sz val="10"/>
        <color rgb="FF0000FF"/>
        <rFont val="Arial"/>
        <family val="2"/>
      </rPr>
      <t xml:space="preserve">OCS </t>
    </r>
    <r>
      <rPr>
        <sz val="10"/>
        <color rgb="FF0000FF"/>
        <rFont val="ＭＳ Ｐゴシック"/>
        <family val="2"/>
        <charset val="128"/>
      </rPr>
      <t>食事用スタイ</t>
    </r>
    <r>
      <rPr>
        <sz val="10"/>
        <color rgb="FF0000FF"/>
        <rFont val="Arial"/>
        <family val="2"/>
      </rPr>
      <t xml:space="preserve"> 2023.8.14 {116</t>
    </r>
    <r>
      <rPr>
        <sz val="10"/>
        <color rgb="FF0000FF"/>
        <rFont val="ＭＳ ゴシック"/>
        <family val="3"/>
        <charset val="128"/>
      </rPr>
      <t>元</t>
    </r>
    <r>
      <rPr>
        <sz val="10"/>
        <color rgb="FF0000FF"/>
        <rFont val="Arial"/>
        <family val="2"/>
      </rPr>
      <t xml:space="preserve"> * 20.08</t>
    </r>
    <r>
      <rPr>
        <sz val="10"/>
        <color rgb="FF0000FF"/>
        <rFont val="ＭＳ ゴシック"/>
        <family val="3"/>
        <charset val="128"/>
      </rPr>
      <t>円</t>
    </r>
    <r>
      <rPr>
        <sz val="10"/>
        <color rgb="FF0000FF"/>
        <rFont val="Arial"/>
        <family val="2"/>
      </rPr>
      <t>/</t>
    </r>
    <r>
      <rPr>
        <sz val="10"/>
        <color rgb="FF0000FF"/>
        <rFont val="ＭＳ ゴシック"/>
        <family val="3"/>
        <charset val="128"/>
      </rPr>
      <t>元</t>
    </r>
    <r>
      <rPr>
        <sz val="10"/>
        <color rgb="FF0000FF"/>
        <rFont val="Arial"/>
        <family val="2"/>
      </rPr>
      <t>, 26016154592}</t>
    </r>
    <phoneticPr fontId="18"/>
  </si>
  <si>
    <r>
      <rPr>
        <sz val="10"/>
        <color rgb="FF0000FF"/>
        <rFont val="ＭＳ ゴシック"/>
        <family val="3"/>
        <charset val="128"/>
      </rPr>
      <t>食事エプロン</t>
    </r>
    <r>
      <rPr>
        <sz val="10"/>
        <color rgb="FF0000FF"/>
        <rFont val="Arial"/>
        <family val="2"/>
      </rPr>
      <t>PU</t>
    </r>
    <r>
      <rPr>
        <sz val="10"/>
        <color rgb="FF0000FF"/>
        <rFont val="ＭＳ ゴシック"/>
        <family val="3"/>
        <charset val="128"/>
      </rPr>
      <t>袖なし</t>
    </r>
    <r>
      <rPr>
        <sz val="10"/>
        <color rgb="FF0000FF"/>
        <rFont val="Arial"/>
        <family val="2"/>
      </rPr>
      <t xml:space="preserve"> 9</t>
    </r>
    <r>
      <rPr>
        <sz val="10"/>
        <color rgb="FF0000FF"/>
        <rFont val="ＭＳ ゴシック"/>
        <family val="3"/>
        <charset val="128"/>
      </rPr>
      <t>ｈ</t>
    </r>
    <r>
      <rPr>
        <sz val="10"/>
        <color rgb="FF0000FF"/>
        <rFont val="Arial"/>
        <family val="2"/>
      </rPr>
      <t xml:space="preserve"> {225</t>
    </r>
    <r>
      <rPr>
        <sz val="10"/>
        <color rgb="FF0000FF"/>
        <rFont val="ＭＳ ゴシック"/>
        <family val="3"/>
        <charset val="128"/>
      </rPr>
      <t>元</t>
    </r>
    <r>
      <rPr>
        <sz val="10"/>
        <color rgb="FF0000FF"/>
        <rFont val="Arial"/>
        <family val="2"/>
      </rPr>
      <t xml:space="preserve"> * 21.48</t>
    </r>
    <r>
      <rPr>
        <sz val="10"/>
        <color rgb="FF0000FF"/>
        <rFont val="ＭＳ ゴシック"/>
        <family val="3"/>
        <charset val="128"/>
      </rPr>
      <t>円</t>
    </r>
    <r>
      <rPr>
        <sz val="10"/>
        <color rgb="FF0000FF"/>
        <rFont val="Arial"/>
        <family val="2"/>
      </rPr>
      <t>/</t>
    </r>
    <r>
      <rPr>
        <sz val="10"/>
        <color rgb="FF0000FF"/>
        <rFont val="ＭＳ ゴシック"/>
        <family val="3"/>
        <charset val="128"/>
      </rPr>
      <t>元</t>
    </r>
    <r>
      <rPr>
        <sz val="10"/>
        <color rgb="FF0000FF"/>
        <rFont val="Arial"/>
        <family val="2"/>
      </rPr>
      <t>, PO-0011}</t>
    </r>
    <phoneticPr fontId="18"/>
  </si>
  <si>
    <r>
      <rPr>
        <sz val="10"/>
        <color rgb="FF0000FF"/>
        <rFont val="ＭＳ ゴシック"/>
        <family val="3"/>
        <charset val="128"/>
      </rPr>
      <t>サンプル検品梱包 ジュエリーパッケージ箱</t>
    </r>
    <r>
      <rPr>
        <sz val="10"/>
        <color rgb="FF0000FF"/>
        <rFont val="Arial"/>
        <family val="2"/>
      </rPr>
      <t xml:space="preserve">OEM </t>
    </r>
    <r>
      <rPr>
        <sz val="10"/>
        <color rgb="FF0000FF"/>
        <rFont val="ＭＳ ゴシック"/>
        <family val="3"/>
        <charset val="128"/>
      </rPr>
      <t>サンプル</t>
    </r>
    <r>
      <rPr>
        <sz val="10"/>
        <color rgb="FF0000FF"/>
        <rFont val="Arial"/>
        <family val="2"/>
      </rPr>
      <t xml:space="preserve"> 1.8</t>
    </r>
    <r>
      <rPr>
        <sz val="10"/>
        <color rgb="FF0000FF"/>
        <rFont val="ＭＳ ゴシック"/>
        <family val="3"/>
        <charset val="128"/>
      </rPr>
      <t>ｈ</t>
    </r>
    <r>
      <rPr>
        <sz val="10"/>
        <color rgb="FF0000FF"/>
        <rFont val="Arial"/>
        <family val="2"/>
      </rPr>
      <t>*25</t>
    </r>
    <r>
      <rPr>
        <sz val="10"/>
        <color rgb="FF0000FF"/>
        <rFont val="ＭＳ ゴシック"/>
        <family val="3"/>
        <charset val="128"/>
      </rPr>
      <t>元</t>
    </r>
    <r>
      <rPr>
        <sz val="10"/>
        <color rgb="FF0000FF"/>
        <rFont val="Arial"/>
        <family val="2"/>
      </rPr>
      <t xml:space="preserve"> {45</t>
    </r>
    <r>
      <rPr>
        <sz val="10"/>
        <color rgb="FF0000FF"/>
        <rFont val="ＭＳ ゴシック"/>
        <family val="3"/>
        <charset val="128"/>
      </rPr>
      <t>元</t>
    </r>
    <r>
      <rPr>
        <sz val="10"/>
        <color rgb="FF0000FF"/>
        <rFont val="Arial"/>
        <family val="2"/>
      </rPr>
      <t xml:space="preserve"> * 21.66</t>
    </r>
    <r>
      <rPr>
        <sz val="10"/>
        <color rgb="FF0000FF"/>
        <rFont val="ＭＳ ゴシック"/>
        <family val="3"/>
        <charset val="128"/>
      </rPr>
      <t>円</t>
    </r>
    <r>
      <rPr>
        <sz val="10"/>
        <color rgb="FF0000FF"/>
        <rFont val="Arial"/>
        <family val="2"/>
      </rPr>
      <t>/</t>
    </r>
    <r>
      <rPr>
        <sz val="10"/>
        <color rgb="FF0000FF"/>
        <rFont val="ＭＳ ゴシック"/>
        <family val="3"/>
        <charset val="128"/>
      </rPr>
      <t>元</t>
    </r>
    <r>
      <rPr>
        <sz val="10"/>
        <color rgb="FF0000FF"/>
        <rFont val="Arial"/>
        <family val="2"/>
      </rPr>
      <t>, PO-0010}</t>
    </r>
    <rPh sb="4" eb="6">
      <t>ケンピン</t>
    </rPh>
    <rPh sb="6" eb="8">
      <t>コンポウ</t>
    </rPh>
    <phoneticPr fontId="18"/>
  </si>
  <si>
    <t>洗濯タグ 本発注 2000個 {280元 * 21.69円/元, PO-0013}</t>
  </si>
  <si>
    <t>お食事エプロンPU袖なし 検品 9ｈ {225元 * 20.96円/元, PO-0014}</t>
  </si>
  <si>
    <t>お食事エプロンPU袖なし 検品 9ｈ {225元 * 20.37円/元, PO-0014}</t>
  </si>
  <si>
    <t>お食事エプロンPU袖なし 写真撮影 6枚 {216元 * 20.37円/元, }</t>
  </si>
  <si>
    <t>往復国内送料 お食事エプロンPU袖なし 写真6枚 {24元 * 20.63円/元, }</t>
  </si>
  <si>
    <t>食事エプロンPU袖なし 650個 {6080元 * 20.63円/元, PO-0015}</t>
  </si>
  <si>
    <t>お食事エプロンPU袖なし 検品 36ｈ {900元 * 20.4円/元, PO-0015}</t>
  </si>
  <si>
    <t>PO-0016お食事エプロン 1200個 {12120元 * 20.02円/元, PO-0016}</t>
  </si>
  <si>
    <r>
      <rPr>
        <sz val="10"/>
        <color rgb="FF000000"/>
        <rFont val="ＭＳ Ｐゴシック"/>
        <family val="2"/>
        <charset val="128"/>
      </rPr>
      <t>円残高</t>
    </r>
    <r>
      <rPr>
        <sz val="10"/>
        <color rgb="FF000000"/>
        <rFont val="Arial"/>
        <family val="2"/>
      </rPr>
      <t>_</t>
    </r>
    <r>
      <rPr>
        <sz val="10"/>
        <color rgb="FF000000"/>
        <rFont val="ＭＳ Ｐゴシック"/>
        <family val="2"/>
        <charset val="128"/>
      </rPr>
      <t>時価</t>
    </r>
    <rPh sb="0" eb="3">
      <t>エンザンダカ</t>
    </rPh>
    <rPh sb="4" eb="6">
      <t>ジカ</t>
    </rPh>
    <phoneticPr fontId="18"/>
  </si>
  <si>
    <t>為替差損益</t>
    <rPh sb="0" eb="3">
      <t>カワセサ</t>
    </rPh>
    <rPh sb="3" eb="5">
      <t>ソンエキ</t>
    </rPh>
    <phoneticPr fontId="18"/>
  </si>
  <si>
    <t>PO-0018</t>
    <phoneticPr fontId="18"/>
  </si>
  <si>
    <t>マザーズバッグ サンプル {227元 * 20.02円/元, PO-0018}</t>
  </si>
  <si>
    <t>お食事エプロンPU袖なし 検品 6ｈ {150元 * 21.05円/元, PO-0016}</t>
  </si>
  <si>
    <t>お食事エプロンPU袖なし 検品 19ｈ {475元 * 21.05円/元, PO-0016}</t>
  </si>
  <si>
    <t>お食事エプロンPU袖なし 検品 18ｈ {450元 * 21.05円/元, PO-0016}</t>
  </si>
  <si>
    <t>お食事エプロンPU袖なし 検品 9ｈ {225元 * 21.05円/元, PO-0016}</t>
  </si>
  <si>
    <t>お食事エプロンPU袖なし 検品 1ｈ {25元 * 21.05円/元, PO-0016}</t>
  </si>
  <si>
    <t>お食事エプロンPU袖なし 不良品返品の国内送料 {23元 * 21.48円/元, PO-0016}</t>
  </si>
  <si>
    <t>サンプル国際送料 OCS マザーズリュック 2024.10.23 {235元 * 21.48円/元, }</t>
  </si>
  <si>
    <r>
      <rPr>
        <sz val="10"/>
        <color rgb="FF0000FF"/>
        <rFont val="ＭＳ ゴシック"/>
        <family val="3"/>
        <charset val="128"/>
      </rPr>
      <t>洗濯タグ</t>
    </r>
    <r>
      <rPr>
        <sz val="10"/>
        <color rgb="FF0000FF"/>
        <rFont val="Arial"/>
        <family val="2"/>
      </rPr>
      <t xml:space="preserve"> 2000</t>
    </r>
    <r>
      <rPr>
        <sz val="10"/>
        <color rgb="FF0000FF"/>
        <rFont val="ＭＳ ゴシック"/>
        <family val="3"/>
        <charset val="128"/>
      </rPr>
      <t>個</t>
    </r>
    <r>
      <rPr>
        <sz val="10"/>
        <color rgb="FF0000FF"/>
        <rFont val="Arial"/>
        <family val="2"/>
      </rPr>
      <t xml:space="preserve"> {280</t>
    </r>
    <r>
      <rPr>
        <sz val="10"/>
        <color rgb="FF0000FF"/>
        <rFont val="ＭＳ ゴシック"/>
        <family val="3"/>
        <charset val="128"/>
      </rPr>
      <t>元</t>
    </r>
    <r>
      <rPr>
        <sz val="10"/>
        <color rgb="FF0000FF"/>
        <rFont val="Arial"/>
        <family val="2"/>
      </rPr>
      <t xml:space="preserve"> * 20.02</t>
    </r>
    <r>
      <rPr>
        <sz val="10"/>
        <color rgb="FF0000FF"/>
        <rFont val="ＭＳ ゴシック"/>
        <family val="3"/>
        <charset val="128"/>
      </rPr>
      <t>円</t>
    </r>
    <r>
      <rPr>
        <sz val="10"/>
        <color rgb="FF0000FF"/>
        <rFont val="Arial"/>
        <family val="2"/>
      </rPr>
      <t>/</t>
    </r>
    <r>
      <rPr>
        <sz val="10"/>
        <color rgb="FF0000FF"/>
        <rFont val="ＭＳ ゴシック"/>
        <family val="3"/>
        <charset val="128"/>
      </rPr>
      <t>元</t>
    </r>
    <r>
      <rPr>
        <sz val="10"/>
        <color rgb="FF0000FF"/>
        <rFont val="Arial"/>
        <family val="2"/>
      </rPr>
      <t>, PO-0017}</t>
    </r>
    <phoneticPr fontId="18"/>
  </si>
  <si>
    <r>
      <rPr>
        <sz val="10"/>
        <color rgb="FF0000FF"/>
        <rFont val="ＭＳ ゴシック"/>
        <family val="3"/>
        <charset val="128"/>
      </rPr>
      <t>洗濯タグを工場に発送する国内送料</t>
    </r>
    <r>
      <rPr>
        <sz val="10"/>
        <color rgb="FF0000FF"/>
        <rFont val="Arial"/>
        <family val="2"/>
      </rPr>
      <t xml:space="preserve"> {18</t>
    </r>
    <r>
      <rPr>
        <sz val="10"/>
        <color rgb="FF0000FF"/>
        <rFont val="ＭＳ ゴシック"/>
        <family val="3"/>
        <charset val="128"/>
      </rPr>
      <t>元</t>
    </r>
    <r>
      <rPr>
        <sz val="10"/>
        <color rgb="FF0000FF"/>
        <rFont val="Arial"/>
        <family val="2"/>
      </rPr>
      <t xml:space="preserve"> * 20.63</t>
    </r>
    <r>
      <rPr>
        <sz val="10"/>
        <color rgb="FF0000FF"/>
        <rFont val="ＭＳ ゴシック"/>
        <family val="3"/>
        <charset val="128"/>
      </rPr>
      <t>円</t>
    </r>
    <r>
      <rPr>
        <sz val="10"/>
        <color rgb="FF0000FF"/>
        <rFont val="Arial"/>
        <family val="2"/>
      </rPr>
      <t>/</t>
    </r>
    <r>
      <rPr>
        <sz val="10"/>
        <color rgb="FF0000FF"/>
        <rFont val="ＭＳ ゴシック"/>
        <family val="3"/>
        <charset val="128"/>
      </rPr>
      <t>元</t>
    </r>
    <r>
      <rPr>
        <sz val="10"/>
        <color rgb="FF0000FF"/>
        <rFont val="Arial"/>
        <family val="2"/>
      </rPr>
      <t>, PO-0007}</t>
    </r>
    <phoneticPr fontId="18"/>
  </si>
  <si>
    <t>洗濯タグを工場に発送する国内送料 600個 {18元 * 21.45円/元, PO-0017}</t>
  </si>
  <si>
    <r>
      <rPr>
        <sz val="10"/>
        <color rgb="FF0000FF"/>
        <rFont val="ＭＳ ゴシック"/>
        <family val="3"/>
        <charset val="128"/>
      </rPr>
      <t>お食事エプロン</t>
    </r>
    <r>
      <rPr>
        <sz val="10"/>
        <color rgb="FF0000FF"/>
        <rFont val="Arial"/>
        <family val="2"/>
      </rPr>
      <t>PU</t>
    </r>
    <r>
      <rPr>
        <sz val="10"/>
        <color rgb="FF0000FF"/>
        <rFont val="ＭＳ ゴシック"/>
        <family val="3"/>
        <charset val="128"/>
      </rPr>
      <t>袖なし</t>
    </r>
    <r>
      <rPr>
        <sz val="10"/>
        <color rgb="FF0000FF"/>
        <rFont val="Arial"/>
        <family val="2"/>
      </rPr>
      <t xml:space="preserve"> 600</t>
    </r>
    <r>
      <rPr>
        <sz val="10"/>
        <color rgb="FF0000FF"/>
        <rFont val="ＭＳ ゴシック"/>
        <family val="3"/>
        <charset val="128"/>
      </rPr>
      <t>個</t>
    </r>
    <r>
      <rPr>
        <sz val="10"/>
        <color rgb="FF0000FF"/>
        <rFont val="Arial"/>
        <family val="2"/>
      </rPr>
      <t xml:space="preserve"> {6070</t>
    </r>
    <r>
      <rPr>
        <sz val="10"/>
        <color rgb="FF0000FF"/>
        <rFont val="ＭＳ ゴシック"/>
        <family val="3"/>
        <charset val="128"/>
      </rPr>
      <t>元</t>
    </r>
    <r>
      <rPr>
        <sz val="10"/>
        <color rgb="FF0000FF"/>
        <rFont val="Arial"/>
        <family val="2"/>
      </rPr>
      <t xml:space="preserve"> * 21.48</t>
    </r>
    <r>
      <rPr>
        <sz val="10"/>
        <color rgb="FF0000FF"/>
        <rFont val="ＭＳ ゴシック"/>
        <family val="3"/>
        <charset val="128"/>
      </rPr>
      <t>円</t>
    </r>
    <r>
      <rPr>
        <sz val="10"/>
        <color rgb="FF0000FF"/>
        <rFont val="Arial"/>
        <family val="2"/>
      </rPr>
      <t>/</t>
    </r>
    <r>
      <rPr>
        <sz val="10"/>
        <color rgb="FF0000FF"/>
        <rFont val="ＭＳ ゴシック"/>
        <family val="3"/>
        <charset val="128"/>
      </rPr>
      <t>元</t>
    </r>
    <r>
      <rPr>
        <sz val="10"/>
        <color rgb="FF0000FF"/>
        <rFont val="Arial"/>
        <family val="2"/>
      </rPr>
      <t>, PO-0019}</t>
    </r>
    <phoneticPr fontId="18"/>
  </si>
  <si>
    <t>お食事エプロンPU袖なし 合計2箱 2024.11.8 {257元 * 20.67円/元, DQS2945758EQ}</t>
  </si>
  <si>
    <t>洗濯タグを工場に発送する国内送料 1200個 {18元 * 21.57円/元, PO-0017}</t>
  </si>
  <si>
    <t>26020203123</t>
    <phoneticPr fontId="18"/>
  </si>
  <si>
    <r>
      <rPr>
        <sz val="10"/>
        <color rgb="FF0000FF"/>
        <rFont val="ＭＳ ゴシック"/>
        <family val="3"/>
        <charset val="128"/>
      </rPr>
      <t>お食事エプロン</t>
    </r>
    <r>
      <rPr>
        <sz val="10"/>
        <color rgb="FF0000FF"/>
        <rFont val="Arial"/>
        <family val="2"/>
      </rPr>
      <t>PU</t>
    </r>
    <r>
      <rPr>
        <sz val="10"/>
        <color rgb="FF0000FF"/>
        <rFont val="ＭＳ ゴシック"/>
        <family val="3"/>
        <charset val="128"/>
      </rPr>
      <t>袖なし</t>
    </r>
    <r>
      <rPr>
        <sz val="10"/>
        <color rgb="FF0000FF"/>
        <rFont val="Arial"/>
        <family val="2"/>
      </rPr>
      <t xml:space="preserve"> </t>
    </r>
    <r>
      <rPr>
        <sz val="10"/>
        <color rgb="FF0000FF"/>
        <rFont val="ＭＳ ゴシック"/>
        <family val="3"/>
        <charset val="128"/>
      </rPr>
      <t>検品</t>
    </r>
    <r>
      <rPr>
        <sz val="10"/>
        <color rgb="FF0000FF"/>
        <rFont val="Arial"/>
        <family val="2"/>
      </rPr>
      <t xml:space="preserve"> 4</t>
    </r>
    <r>
      <rPr>
        <sz val="10"/>
        <color rgb="FF0000FF"/>
        <rFont val="ＭＳ ゴシック"/>
        <family val="3"/>
        <charset val="128"/>
      </rPr>
      <t>ｈ</t>
    </r>
    <r>
      <rPr>
        <sz val="10"/>
        <color rgb="FF0000FF"/>
        <rFont val="Arial"/>
        <family val="2"/>
      </rPr>
      <t xml:space="preserve"> {100</t>
    </r>
    <r>
      <rPr>
        <sz val="10"/>
        <color rgb="FF0000FF"/>
        <rFont val="ＭＳ ゴシック"/>
        <family val="3"/>
        <charset val="128"/>
      </rPr>
      <t>元</t>
    </r>
    <r>
      <rPr>
        <sz val="10"/>
        <color rgb="FF0000FF"/>
        <rFont val="Arial"/>
        <family val="2"/>
      </rPr>
      <t xml:space="preserve"> * 21.63</t>
    </r>
    <r>
      <rPr>
        <sz val="10"/>
        <color rgb="FF0000FF"/>
        <rFont val="ＭＳ ゴシック"/>
        <family val="3"/>
        <charset val="128"/>
      </rPr>
      <t>円</t>
    </r>
    <r>
      <rPr>
        <sz val="10"/>
        <color rgb="FF0000FF"/>
        <rFont val="Arial"/>
        <family val="2"/>
      </rPr>
      <t>/</t>
    </r>
    <r>
      <rPr>
        <sz val="10"/>
        <color rgb="FF0000FF"/>
        <rFont val="ＭＳ ゴシック"/>
        <family val="3"/>
        <charset val="128"/>
      </rPr>
      <t>元</t>
    </r>
    <r>
      <rPr>
        <sz val="10"/>
        <color rgb="FF0000FF"/>
        <rFont val="Arial"/>
        <family val="2"/>
      </rPr>
      <t>, PO-0019}</t>
    </r>
    <phoneticPr fontId="18"/>
  </si>
  <si>
    <t>お食事エプロンPU袖なし 返品分 検品 1ｈ {25元 * 21.63円/元, PO-0016}</t>
  </si>
  <si>
    <t>お食事エプロンPU袖なし 検品 2ｈ {50元 * 21.4円/元, PO-0019}</t>
  </si>
  <si>
    <t>お食事エプロンPU袖なし 返品分 検品 6ｈ {150元 * 21.4円/元, PO-0016}</t>
  </si>
  <si>
    <t>お食事エプロンPU袖なし 前回発注不良品保証 100枚分 {-1000元 * 21.17円/元, PO-0019}</t>
  </si>
  <si>
    <t>お食事エプロンを撮影会社へ発送 {12元 * 21.17円/元, }</t>
  </si>
  <si>
    <t>サンプル国際送料　OCS　お食事エプロンPU袖なし　PO-0016返品分9個+うさぎ4個+ユニコーン4個　2025.1.16 {116元 * 21.17円/元, PO-0016}</t>
  </si>
  <si>
    <t>お食事エプロンPU袖なし ユニコーンの写真1枚 {36元 * 21.17円/元, }</t>
  </si>
  <si>
    <r>
      <rPr>
        <sz val="10"/>
        <color rgb="FF0000FF"/>
        <rFont val="ＭＳ ゴシック"/>
        <family val="3"/>
        <charset val="128"/>
      </rPr>
      <t>お食事エプロン</t>
    </r>
    <r>
      <rPr>
        <sz val="10"/>
        <color rgb="FF0000FF"/>
        <rFont val="Arial"/>
        <family val="2"/>
      </rPr>
      <t>PU</t>
    </r>
    <r>
      <rPr>
        <sz val="10"/>
        <color rgb="FF0000FF"/>
        <rFont val="ＭＳ ゴシック"/>
        <family val="3"/>
        <charset val="128"/>
      </rPr>
      <t>袖なし</t>
    </r>
    <r>
      <rPr>
        <sz val="10"/>
        <color rgb="FF0000FF"/>
        <rFont val="Arial"/>
        <family val="2"/>
      </rPr>
      <t xml:space="preserve"> </t>
    </r>
    <r>
      <rPr>
        <sz val="10"/>
        <color rgb="FF0000FF"/>
        <rFont val="ＭＳ ゴシック"/>
        <family val="3"/>
        <charset val="128"/>
      </rPr>
      <t>検品梱包</t>
    </r>
    <r>
      <rPr>
        <sz val="10"/>
        <color rgb="FF0000FF"/>
        <rFont val="Arial"/>
        <family val="2"/>
      </rPr>
      <t xml:space="preserve"> 1</t>
    </r>
    <r>
      <rPr>
        <sz val="10"/>
        <color rgb="FF0000FF"/>
        <rFont val="ＭＳ ゴシック"/>
        <family val="3"/>
        <charset val="128"/>
      </rPr>
      <t>ｈ</t>
    </r>
    <r>
      <rPr>
        <sz val="10"/>
        <color rgb="FF0000FF"/>
        <rFont val="Arial"/>
        <family val="2"/>
      </rPr>
      <t xml:space="preserve"> {25</t>
    </r>
    <r>
      <rPr>
        <sz val="10"/>
        <color rgb="FF0000FF"/>
        <rFont val="ＭＳ ゴシック"/>
        <family val="3"/>
        <charset val="128"/>
      </rPr>
      <t>元</t>
    </r>
    <r>
      <rPr>
        <sz val="10"/>
        <color rgb="FF0000FF"/>
        <rFont val="Arial"/>
        <family val="2"/>
      </rPr>
      <t xml:space="preserve"> * 21.17</t>
    </r>
    <r>
      <rPr>
        <sz val="10"/>
        <color rgb="FF0000FF"/>
        <rFont val="ＭＳ ゴシック"/>
        <family val="3"/>
        <charset val="128"/>
      </rPr>
      <t>円</t>
    </r>
    <r>
      <rPr>
        <sz val="10"/>
        <color rgb="FF0000FF"/>
        <rFont val="Arial"/>
        <family val="2"/>
      </rPr>
      <t>/</t>
    </r>
    <r>
      <rPr>
        <sz val="10"/>
        <color rgb="FF0000FF"/>
        <rFont val="ＭＳ ゴシック"/>
        <family val="3"/>
        <charset val="128"/>
      </rPr>
      <t>元</t>
    </r>
    <r>
      <rPr>
        <sz val="10"/>
        <color rgb="FF0000FF"/>
        <rFont val="Arial"/>
        <family val="2"/>
      </rPr>
      <t>, PO-0019}</t>
    </r>
    <phoneticPr fontId="18"/>
  </si>
  <si>
    <t>PO-0021</t>
    <phoneticPr fontId="18"/>
  </si>
  <si>
    <r>
      <rPr>
        <sz val="10"/>
        <color rgb="FF0000FF"/>
        <rFont val="ＭＳ ゴシック"/>
        <family val="3"/>
        <charset val="128"/>
      </rPr>
      <t>お食事エプロン</t>
    </r>
    <r>
      <rPr>
        <sz val="10"/>
        <color rgb="FF0000FF"/>
        <rFont val="Arial"/>
        <family val="2"/>
      </rPr>
      <t>PU</t>
    </r>
    <r>
      <rPr>
        <sz val="10"/>
        <color rgb="FF0000FF"/>
        <rFont val="ＭＳ ゴシック"/>
        <family val="3"/>
        <charset val="128"/>
      </rPr>
      <t>袖なし</t>
    </r>
    <r>
      <rPr>
        <sz val="10"/>
        <color rgb="FF0000FF"/>
        <rFont val="Arial"/>
        <family val="2"/>
      </rPr>
      <t xml:space="preserve"> 290</t>
    </r>
    <r>
      <rPr>
        <sz val="10"/>
        <color rgb="FF0000FF"/>
        <rFont val="ＭＳ ゴシック"/>
        <family val="3"/>
        <charset val="128"/>
      </rPr>
      <t>枚</t>
    </r>
    <r>
      <rPr>
        <sz val="10"/>
        <color rgb="FF0000FF"/>
        <rFont val="Arial"/>
        <family val="2"/>
      </rPr>
      <t xml:space="preserve"> {2940</t>
    </r>
    <r>
      <rPr>
        <sz val="10"/>
        <color rgb="FF0000FF"/>
        <rFont val="ＭＳ ゴシック"/>
        <family val="3"/>
        <charset val="128"/>
      </rPr>
      <t>元</t>
    </r>
    <r>
      <rPr>
        <sz val="10"/>
        <color rgb="FF0000FF"/>
        <rFont val="Arial"/>
        <family val="2"/>
      </rPr>
      <t xml:space="preserve"> * 21.17</t>
    </r>
    <r>
      <rPr>
        <sz val="10"/>
        <color rgb="FF0000FF"/>
        <rFont val="ＭＳ ゴシック"/>
        <family val="3"/>
        <charset val="128"/>
      </rPr>
      <t>円</t>
    </r>
    <r>
      <rPr>
        <sz val="10"/>
        <color rgb="FF0000FF"/>
        <rFont val="Arial"/>
        <family val="2"/>
      </rPr>
      <t>/</t>
    </r>
    <r>
      <rPr>
        <sz val="10"/>
        <color rgb="FF0000FF"/>
        <rFont val="ＭＳ ゴシック"/>
        <family val="3"/>
        <charset val="128"/>
      </rPr>
      <t>元</t>
    </r>
    <r>
      <rPr>
        <sz val="10"/>
        <color rgb="FF0000FF"/>
        <rFont val="Arial"/>
        <family val="2"/>
      </rPr>
      <t>, PO-0020}</t>
    </r>
    <phoneticPr fontId="18"/>
  </si>
  <si>
    <t>お食事エプロンPU袖なし 梱包2ｈ {50元 * 20.98円/元, PO-0016}</t>
  </si>
  <si>
    <t>お食事エプロンPU袖なし ユニコーン再検品1ｈ {25元 * 20.98円/元, PO-0019}</t>
  </si>
  <si>
    <t>お食事エプロンPU袖なし ユニコーン再梱包1ｈ {25元 * 20.98円/元, PO-0019}</t>
  </si>
  <si>
    <t>お食事エプロンPU袖なし うさぎのサンプル 3枚 {50元 * 20.59円/元, PO-0021}</t>
  </si>
  <si>
    <t>お食事エプロンPU袖なし 検品7ｈ {175元 * 20.59円/元, PO-0020}</t>
  </si>
  <si>
    <t>お食事エプロン 撮影会社から代行会社事務所へ発送 {12元 * 20.56円/元, }</t>
  </si>
  <si>
    <r>
      <rPr>
        <sz val="10"/>
        <color rgb="FF0000FF"/>
        <rFont val="ＭＳ ゴシック"/>
        <family val="3"/>
        <charset val="128"/>
      </rPr>
      <t>お食事エプロン</t>
    </r>
    <r>
      <rPr>
        <sz val="10"/>
        <color rgb="FF0000FF"/>
        <rFont val="Arial"/>
        <family val="2"/>
      </rPr>
      <t>PU</t>
    </r>
    <r>
      <rPr>
        <sz val="10"/>
        <color rgb="FF0000FF"/>
        <rFont val="ＭＳ ゴシック"/>
        <family val="3"/>
        <charset val="128"/>
      </rPr>
      <t>袖なし</t>
    </r>
    <r>
      <rPr>
        <sz val="10"/>
        <color rgb="FF0000FF"/>
        <rFont val="Arial"/>
        <family val="2"/>
      </rPr>
      <t xml:space="preserve"> </t>
    </r>
    <r>
      <rPr>
        <sz val="10"/>
        <color rgb="FF0000FF"/>
        <rFont val="ＭＳ ゴシック"/>
        <family val="3"/>
        <charset val="128"/>
      </rPr>
      <t>今回発注</t>
    </r>
    <r>
      <rPr>
        <sz val="10"/>
        <color rgb="FF0000FF"/>
        <rFont val="Arial"/>
        <family val="2"/>
      </rPr>
      <t>+</t>
    </r>
    <r>
      <rPr>
        <sz val="10"/>
        <color rgb="FF0000FF"/>
        <rFont val="ＭＳ ゴシック"/>
        <family val="3"/>
        <charset val="128"/>
      </rPr>
      <t>返品分</t>
    </r>
    <r>
      <rPr>
        <sz val="10"/>
        <color rgb="FF0000FF"/>
        <rFont val="Arial"/>
        <family val="2"/>
      </rPr>
      <t xml:space="preserve"> </t>
    </r>
    <r>
      <rPr>
        <sz val="10"/>
        <color rgb="FF0000FF"/>
        <rFont val="ＭＳ ゴシック"/>
        <family val="3"/>
        <charset val="128"/>
      </rPr>
      <t>検品梱包</t>
    </r>
    <r>
      <rPr>
        <sz val="10"/>
        <color rgb="FF0000FF"/>
        <rFont val="Arial"/>
        <family val="2"/>
      </rPr>
      <t xml:space="preserve"> 16</t>
    </r>
    <r>
      <rPr>
        <sz val="10"/>
        <color rgb="FF0000FF"/>
        <rFont val="ＭＳ ゴシック"/>
        <family val="3"/>
        <charset val="128"/>
      </rPr>
      <t>ｈ</t>
    </r>
    <r>
      <rPr>
        <sz val="10"/>
        <color rgb="FF0000FF"/>
        <rFont val="Arial"/>
        <family val="2"/>
      </rPr>
      <t xml:space="preserve"> {400</t>
    </r>
    <r>
      <rPr>
        <sz val="10"/>
        <color rgb="FF0000FF"/>
        <rFont val="ＭＳ ゴシック"/>
        <family val="3"/>
        <charset val="128"/>
      </rPr>
      <t>元</t>
    </r>
    <r>
      <rPr>
        <sz val="10"/>
        <color rgb="FF0000FF"/>
        <rFont val="Arial"/>
        <family val="2"/>
      </rPr>
      <t xml:space="preserve"> * 20.59</t>
    </r>
    <r>
      <rPr>
        <sz val="10"/>
        <color rgb="FF0000FF"/>
        <rFont val="ＭＳ ゴシック"/>
        <family val="3"/>
        <charset val="128"/>
      </rPr>
      <t>円</t>
    </r>
    <r>
      <rPr>
        <sz val="10"/>
        <color rgb="FF0000FF"/>
        <rFont val="Arial"/>
        <family val="2"/>
      </rPr>
      <t>/</t>
    </r>
    <r>
      <rPr>
        <sz val="10"/>
        <color rgb="FF0000FF"/>
        <rFont val="ＭＳ ゴシック"/>
        <family val="3"/>
        <charset val="128"/>
      </rPr>
      <t>元</t>
    </r>
    <r>
      <rPr>
        <sz val="10"/>
        <color rgb="FF0000FF"/>
        <rFont val="Arial"/>
        <family val="2"/>
      </rPr>
      <t>, PO-0020}</t>
    </r>
    <phoneticPr fontId="18"/>
  </si>
  <si>
    <t>PO-0023</t>
    <phoneticPr fontId="18"/>
  </si>
  <si>
    <t>お食事エプロンPU袖なし 530枚 {6420元 * 20.45円/元, PO-0022}</t>
  </si>
  <si>
    <t>お食事エプロンPU袖なし うさぎサンプル3個 {100元 * 20.45円/元, PO-0023}</t>
  </si>
  <si>
    <r>
      <rPr>
        <sz val="10"/>
        <color rgb="FF0000FF"/>
        <rFont val="ＭＳ Ｐゴシック"/>
        <family val="2"/>
        <charset val="128"/>
      </rPr>
      <t>年度末</t>
    </r>
    <r>
      <rPr>
        <sz val="10"/>
        <color rgb="FF0000FF"/>
        <rFont val="Arial"/>
        <family val="2"/>
      </rPr>
      <t xml:space="preserve"> ESPRIME</t>
    </r>
    <r>
      <rPr>
        <sz val="10"/>
        <color rgb="FF0000FF"/>
        <rFont val="ＭＳ Ｐゴシック"/>
        <family val="2"/>
        <charset val="128"/>
      </rPr>
      <t>残高</t>
    </r>
    <r>
      <rPr>
        <sz val="10"/>
        <color rgb="FF0000FF"/>
        <rFont val="Arial"/>
        <family val="2"/>
      </rPr>
      <t xml:space="preserve"> 28431</t>
    </r>
    <r>
      <rPr>
        <sz val="10"/>
        <color rgb="FF0000FF"/>
        <rFont val="ＭＳ Ｐゴシック"/>
        <family val="2"/>
        <charset val="128"/>
      </rPr>
      <t>元</t>
    </r>
    <r>
      <rPr>
        <sz val="10"/>
        <color rgb="FF0000FF"/>
        <rFont val="Arial"/>
        <family val="2"/>
      </rPr>
      <t xml:space="preserve"> * </t>
    </r>
    <r>
      <rPr>
        <sz val="10"/>
        <color rgb="FF0000FF"/>
        <rFont val="Arial"/>
        <family val="2"/>
        <charset val="128"/>
      </rPr>
      <t>20.63</t>
    </r>
    <r>
      <rPr>
        <sz val="10"/>
        <color rgb="FF0000FF"/>
        <rFont val="ＭＳ Ｐゴシック"/>
        <family val="2"/>
        <charset val="128"/>
      </rPr>
      <t>円</t>
    </r>
    <r>
      <rPr>
        <sz val="10"/>
        <color rgb="FF0000FF"/>
        <rFont val="Arial"/>
        <family val="2"/>
      </rPr>
      <t>/</t>
    </r>
    <r>
      <rPr>
        <sz val="10"/>
        <color rgb="FF0000FF"/>
        <rFont val="ＭＳ Ｐゴシック"/>
        <family val="2"/>
        <charset val="128"/>
      </rPr>
      <t>元</t>
    </r>
    <rPh sb="0" eb="2">
      <t>ネンド</t>
    </rPh>
    <rPh sb="2" eb="3">
      <t>マツ</t>
    </rPh>
    <rPh sb="11" eb="13">
      <t>ザンダカ</t>
    </rPh>
    <rPh sb="19" eb="20">
      <t>ゲン</t>
    </rPh>
    <rPh sb="28" eb="29">
      <t>エン</t>
    </rPh>
    <rPh sb="30" eb="31">
      <t>ゲン</t>
    </rPh>
    <phoneticPr fontId="18"/>
  </si>
  <si>
    <t>26024305252</t>
  </si>
  <si>
    <t>PO-0037</t>
    <phoneticPr fontId="18"/>
  </si>
  <si>
    <t>PO-0038</t>
    <phoneticPr fontId="18"/>
  </si>
  <si>
    <t>PO-0033</t>
    <phoneticPr fontId="18"/>
  </si>
  <si>
    <t>PO-0034</t>
    <phoneticPr fontId="18"/>
  </si>
  <si>
    <t>26022453170</t>
  </si>
  <si>
    <t>PO-0027</t>
    <phoneticPr fontId="18"/>
  </si>
  <si>
    <t>PO-0028</t>
  </si>
  <si>
    <t>PO-0028</t>
    <phoneticPr fontId="18"/>
  </si>
  <si>
    <t>PO-0039</t>
    <phoneticPr fontId="18"/>
  </si>
  <si>
    <r>
      <rPr>
        <sz val="10"/>
        <color rgb="FF0000FF"/>
        <rFont val="ＭＳ ゴシック"/>
        <family val="3"/>
        <charset val="128"/>
      </rPr>
      <t>洗濯タグを工場に発送する国内送料</t>
    </r>
    <r>
      <rPr>
        <sz val="10"/>
        <color rgb="FF0000FF"/>
        <rFont val="Arial"/>
        <family val="2"/>
      </rPr>
      <t xml:space="preserve"> {10.5</t>
    </r>
    <r>
      <rPr>
        <sz val="10"/>
        <color rgb="FF0000FF"/>
        <rFont val="ＭＳ ゴシック"/>
        <family val="3"/>
        <charset val="128"/>
      </rPr>
      <t>元</t>
    </r>
    <r>
      <rPr>
        <sz val="10"/>
        <color rgb="FF0000FF"/>
        <rFont val="Arial"/>
        <family val="2"/>
      </rPr>
      <t xml:space="preserve"> * 21.17</t>
    </r>
    <r>
      <rPr>
        <sz val="10"/>
        <color rgb="FF0000FF"/>
        <rFont val="ＭＳ ゴシック"/>
        <family val="3"/>
        <charset val="128"/>
      </rPr>
      <t>円</t>
    </r>
    <r>
      <rPr>
        <sz val="10"/>
        <color rgb="FF0000FF"/>
        <rFont val="Arial"/>
        <family val="2"/>
      </rPr>
      <t>/</t>
    </r>
    <r>
      <rPr>
        <sz val="10"/>
        <color rgb="FF0000FF"/>
        <rFont val="ＭＳ ゴシック"/>
        <family val="3"/>
        <charset val="128"/>
      </rPr>
      <t>元</t>
    </r>
    <r>
      <rPr>
        <sz val="10"/>
        <color rgb="FF0000FF"/>
        <rFont val="Arial"/>
        <family val="2"/>
      </rPr>
      <t>, PO-0017}</t>
    </r>
    <phoneticPr fontId="18"/>
  </si>
  <si>
    <t>代行会社入金 {-9601.53624579933元 * 20.83円/元, }</t>
  </si>
  <si>
    <t>代行手数料2% {192.030724915987元 * 20.83円/元, }</t>
  </si>
  <si>
    <t>お食事エプロンPU袖なし ユニコーン　今回発注+返品分　合計1箱　2025.2.28 {244元 * 20.83円/元, DQS2952404EQ}</t>
  </si>
  <si>
    <t>お食事エプロンPU袖なし ユニコーン＋うさぎ 合計1箱　2025.2.20 {293元 * 20.83円/元, DQS2951954EQ}</t>
  </si>
  <si>
    <t>お食事エプロンPU袖なし ユニコーン　今回発注+返品分　合計1箱　2025.3.25 {245元 * 20.83円/元, DQS2954260EQ}</t>
  </si>
  <si>
    <t>洗濯タグと前回不良品を工場に発送する国内送料 {19元 * 20.83円/元, PO-0022}</t>
  </si>
  <si>
    <t>お食事エプロンPU袖なし 検品18ｈ {450元 * 20.83円/元, PO-0022}</t>
  </si>
  <si>
    <t>お食事エプロンPU袖なし 検品13ｈ {325元 * 20.83円/元, PO-0022}</t>
  </si>
  <si>
    <t>お食事エプロンPU袖なし  {6660元 * 20.83円/元, PO-0024}</t>
  </si>
  <si>
    <t>お食事エプロン用 洗濯タグ 新デザイン 2000枚 {280元 * 20.83円/元, PO-0025}</t>
  </si>
  <si>
    <t>代行会社入金 {-9206.2元 * 21.29円/元, }</t>
  </si>
  <si>
    <t>代行手数料2% {184.124元 * 21.29円/元, }</t>
  </si>
  <si>
    <t>サンプル国際送料 OCS お食事エプロンPU袖なし サンプル 3個　2025.5.26. {82元 * 21.29円/元, 26020159266}</t>
  </si>
  <si>
    <t>お食事エプロンPU袖なし 1070個 {11880元 * 21.29円/元, PO-0026}</t>
  </si>
  <si>
    <t>代行会社入金 {-9099.4元 * 21.54円/元, }</t>
  </si>
  <si>
    <t>代行手数料2% {181.988元 * 21.54円/元, }</t>
  </si>
  <si>
    <r>
      <rPr>
        <sz val="10"/>
        <color rgb="FF0000FF"/>
        <rFont val="ＭＳ Ｐゴシック"/>
        <family val="2"/>
        <charset val="128"/>
      </rPr>
      <t>年度末</t>
    </r>
    <r>
      <rPr>
        <sz val="10"/>
        <color rgb="FF0000FF"/>
        <rFont val="Arial"/>
        <family val="2"/>
      </rPr>
      <t xml:space="preserve"> ESPRIME</t>
    </r>
    <r>
      <rPr>
        <sz val="10"/>
        <color rgb="FF0000FF"/>
        <rFont val="ＭＳ Ｐゴシック"/>
        <family val="2"/>
        <charset val="128"/>
      </rPr>
      <t>残高</t>
    </r>
    <r>
      <rPr>
        <sz val="10"/>
        <color rgb="FF0000FF"/>
        <rFont val="Arial"/>
        <family val="2"/>
      </rPr>
      <t xml:space="preserve"> 391.8</t>
    </r>
    <r>
      <rPr>
        <sz val="10"/>
        <color rgb="FF0000FF"/>
        <rFont val="ＭＳ Ｐゴシック"/>
        <family val="2"/>
        <charset val="128"/>
      </rPr>
      <t>元</t>
    </r>
    <r>
      <rPr>
        <sz val="10"/>
        <color rgb="FF0000FF"/>
        <rFont val="Arial"/>
        <family val="2"/>
      </rPr>
      <t xml:space="preserve"> * </t>
    </r>
    <r>
      <rPr>
        <sz val="10"/>
        <color rgb="FF0000FF"/>
        <rFont val="Arial"/>
        <family val="2"/>
        <charset val="128"/>
      </rPr>
      <t>23.42</t>
    </r>
    <r>
      <rPr>
        <sz val="10"/>
        <color rgb="FF0000FF"/>
        <rFont val="ＭＳ Ｐゴシック"/>
        <family val="2"/>
        <charset val="128"/>
      </rPr>
      <t>円</t>
    </r>
    <r>
      <rPr>
        <sz val="10"/>
        <color rgb="FF0000FF"/>
        <rFont val="Arial"/>
        <family val="2"/>
      </rPr>
      <t>/</t>
    </r>
    <r>
      <rPr>
        <sz val="10"/>
        <color rgb="FF0000FF"/>
        <rFont val="ＭＳ Ｐゴシック"/>
        <family val="2"/>
        <charset val="128"/>
      </rPr>
      <t>元</t>
    </r>
    <rPh sb="0" eb="2">
      <t>ネンド</t>
    </rPh>
    <rPh sb="2" eb="3">
      <t>マツ</t>
    </rPh>
    <rPh sb="11" eb="13">
      <t>ザンダカ</t>
    </rPh>
    <rPh sb="19" eb="20">
      <t>ゲン</t>
    </rPh>
    <rPh sb="28" eb="29">
      <t>エン</t>
    </rPh>
    <rPh sb="30" eb="31">
      <t>ゲン</t>
    </rPh>
    <phoneticPr fontId="18"/>
  </si>
  <si>
    <t>お食事エプロンPU袖なし 検品22.5ｈ {562.5元 * 21.54円/元, PO-0024}</t>
  </si>
  <si>
    <t>お食事エプロンPU袖なし 検品13ｈ {325元 * 21.54円/元, PO-0024}</t>
  </si>
  <si>
    <t>お食事エプロンPU袖なし 検品6ｈ {150元 * 21.54円/元, PO-0024}</t>
  </si>
  <si>
    <t>お食事エプロンPU袖なし 検品1.5ｈ {37.5元 * 21.54円/元, PO-0024}</t>
  </si>
  <si>
    <t>お食事エプロンPU袖なし 今回発注+返品分 合計2箱 2025.5.26. {340.5元 * 21.54円/元, DQS2958567EQ}</t>
  </si>
  <si>
    <t>洗濯タグと前回不良品を工場に発送する国内送料 {22元 * 21.54円/元, PO-0024}</t>
  </si>
  <si>
    <t>洗濯タグと前回不良品を工場に発送する国内送料 {18元 * 21.54円/元, PO-0026}</t>
  </si>
  <si>
    <t>お食事エプロンPU袖なし 検品 20ｈ {500元 * 21.54円/元, PO-0026}</t>
  </si>
  <si>
    <t>お食事エプロンPU袖なし 検品 38.5ｈ {962.5元 * 21.54円/元, PO-0026}</t>
  </si>
  <si>
    <t>お食事エプロンPU袖なし 検品 5ｈ {125元 * 21.54円/元, PO-0026}</t>
  </si>
  <si>
    <t>お食事エプロンPU袖なし 今回発注+返品分 合計2箱　2025.7.7 {351元 * 21.54円/元, DQS2960266EQ}</t>
  </si>
  <si>
    <t>お食事エプロンパッケージ袋 サンプル {6.1元 * 21.54円/元, PO-0027}</t>
  </si>
  <si>
    <t>マザーズリュックサンプル２回目 工場1 {88.5元 * 21.54円/元, PO-0028}</t>
  </si>
  <si>
    <t>マザーズリュックサンプル２回目 工場2 {46元 * 21.54円/元, PO-0028}</t>
  </si>
  <si>
    <t>マザーズリュックサンプル２回目 工場3 {47元 * 21.54円/元, PO-0028}</t>
  </si>
  <si>
    <t>マザーズリュックサンプル２回目 工場6 {182元 * 21.54円/元, PO-0028}</t>
  </si>
  <si>
    <t>マザーズリュックサンプル２回目 工場8 {79元 * 21.54円/元, PO-0028}</t>
  </si>
  <si>
    <t>お食事エプロンパッケージ袋 サンプル {5.4元 * 21.54円/元, PO-0027}</t>
  </si>
  <si>
    <t>マザーズリュックサンプル２回目 工場6黑色普通款 返金 {-41元 * 21.54円/元, PO-0028}</t>
  </si>
  <si>
    <t>DQS PO-0026_発注書+前回返品分　合計2箱　2025.8.7 {421元 * 21.54円/元, DQS2962481EQ}</t>
  </si>
  <si>
    <t>お食事エプロンパッケージ袋 本発注 {360元 * 21.54円/元, }</t>
  </si>
  <si>
    <t>お食事エプロン用 洗濯タグ 2000個 {280元 * 21.54円/元, PO-0032}</t>
  </si>
  <si>
    <t>お食事エプロンPU袖なし {12430元 * 21.54円/元, PO-0031}</t>
  </si>
  <si>
    <t>代行会社入金 {-13233.3480370534元 * 22.67円/元, }</t>
  </si>
  <si>
    <t>代行手数料2% {264.666960741067元 * 22.67円/元, }</t>
  </si>
  <si>
    <t>お食事エプロン不良品返品の国内送料 {15元 * 22.67円/元, PO-0031}</t>
  </si>
  <si>
    <t>OCS　マザーズリュックサンプル+PE袋2個　合計1箱　2025.9.8 {269元 * 22.67円/元, 26022453170}</t>
  </si>
  <si>
    <t>マザーズリュックパッケージ袋サンプル　工場1 {7.6元 * 22.67円/元, PO-0033}</t>
  </si>
  <si>
    <t>マザーズリュックパッケージ袋サンプル　工場2 {8元 * 22.67円/元, PO-0033}</t>
  </si>
  <si>
    <t>マザーズリュック2色×30個 {2220元 * 22.67円/元, PO-0034}</t>
  </si>
  <si>
    <t>代行会社入金 {-4355.40069686411元 * 22.96円/元, }</t>
  </si>
  <si>
    <t>代行手数料2% {87.1080139372822元 * 22.96円/元, }</t>
  </si>
  <si>
    <t>お食事エプロン検品26ｈ {650元 * 22.96円/元, PO-0031}</t>
  </si>
  <si>
    <t>お食事エプロン検品23ｈ {575元 * 22.96円/元, PO-0031}</t>
  </si>
  <si>
    <t>お食事エプロン検品22ｈ {550元 * 22.96円/元, PO-0031}</t>
  </si>
  <si>
    <t>洗濯タグを工場に発送する国内送料 {18元 * 22.96円/元, PO-0032}</t>
  </si>
  <si>
    <t>代行会社入金 {-12809.5644748079元 * 23.42円/元, }</t>
  </si>
  <si>
    <t>代行手数料2% {256.191289496157元 * 23.42円/元, }</t>
  </si>
  <si>
    <t>マザーズリュックパッケージ　38*51cm【100只】*12丝乳白色*乳白色 100個 {161元 * 23.42円/元, PO-0035}</t>
  </si>
  <si>
    <t>お食事エプロンPU袖なし {12210元 * 23.42円/元, PO-0036}</t>
  </si>
  <si>
    <t>洗濯タグと前回不良品を工場に発送する国内送料 {23元 * 23.42円/元, PO-0031}</t>
  </si>
  <si>
    <t>OCS PO-0026部分+PO-0031PUお食事エプロン　合計5箱　2025.11.11 {1078元 * 23.42円/元, 26024305252}</t>
  </si>
  <si>
    <t>お食事エプロン 貨物搬送+検品20ｈ {500元 * 23.42円/元, PO-0036}</t>
  </si>
  <si>
    <t>お食事エプロンパッケージ袋18*23cm {140元 * 23.42円/元, PO-0037}</t>
  </si>
  <si>
    <t>PUお食事エプロン検品18.5ｈ {462.5元 * 23.42円/元, PO-0036}</t>
  </si>
  <si>
    <t>マザーズリュック　本発注 {2265元 * 23.42円/元, PO-0038}</t>
  </si>
  <si>
    <t>マザーズリュックパッケージ袋 本発注 {141元 * 23.42円/元, PO-0039}</t>
  </si>
  <si>
    <t>PUお食事エプロン 検品 22ｈ {550元 * 23.42円/元, PO-0036}</t>
  </si>
  <si>
    <t>代行会社入金 {-4166.66666666667元 * 24円/元, }</t>
  </si>
  <si>
    <t>代行手数料2% {83.3333333333333元 * 24円/元, }</t>
  </si>
  <si>
    <t>PUお食事エプロン 検品 5ｈ {125元 * 24円/元, PO-0036}</t>
  </si>
  <si>
    <t>OCS　PO-0034+PO-0035 合計2箱　2025.12.5 {748元 * 24円/元, PO-0034}</t>
  </si>
  <si>
    <t>マザーズリュック 検品15ｈ {375元 * 24円/元, PO-0038}</t>
  </si>
  <si>
    <t>代行会社入金 {-4215.85160202361元 * 23.72円/元, }</t>
  </si>
  <si>
    <t>代行手数料2% {84.3170320404722元 * 23.72円/元, }</t>
  </si>
  <si>
    <t>代行会社入金 {-29083.8584585555元 * 20.63円/元, }</t>
  </si>
  <si>
    <t>代行会社入金 {-9132.4200913242元 * 21.9円/元, }</t>
  </si>
  <si>
    <t>代行手数料2% {182.648401826484元 * 21.9円/元, }</t>
  </si>
  <si>
    <t>代行会社入金 {-13410.8180599017元 * 22.37円/元, }</t>
  </si>
  <si>
    <t>代行手数料2% {268.216361198033元 * 22.37円/元, }</t>
  </si>
  <si>
    <t>PO-0030</t>
    <phoneticPr fontId="18"/>
  </si>
  <si>
    <t>カ)イ-ウ-パスポ-ト出金（9,485元×20円／元）</t>
  </si>
  <si>
    <r>
      <t>2022/06/23_</t>
    </r>
    <r>
      <rPr>
        <sz val="10"/>
        <color rgb="FF0000FF"/>
        <rFont val="ＭＳ ゴシック"/>
        <family val="3"/>
        <charset val="128"/>
      </rPr>
      <t>研究開発費</t>
    </r>
    <r>
      <rPr>
        <sz val="10"/>
        <color rgb="FF0000FF"/>
        <rFont val="Arial"/>
        <family val="2"/>
      </rPr>
      <t>_</t>
    </r>
    <r>
      <rPr>
        <sz val="10"/>
        <color rgb="FF0000FF"/>
        <rFont val="ＭＳ Ｐゴシック"/>
        <family val="2"/>
        <charset val="128"/>
      </rPr>
      <t>アートパネルサンプル　商品代金</t>
    </r>
    <rPh sb="28" eb="32">
      <t>ショウヒンダイキン</t>
    </rPh>
    <phoneticPr fontId="18"/>
  </si>
  <si>
    <r>
      <t>2022/07/07_</t>
    </r>
    <r>
      <rPr>
        <sz val="10"/>
        <color rgb="FF0000FF"/>
        <rFont val="ＭＳ ゴシック"/>
        <family val="3"/>
        <charset val="128"/>
      </rPr>
      <t>研究開発費</t>
    </r>
    <r>
      <rPr>
        <sz val="10"/>
        <color rgb="FF0000FF"/>
        <rFont val="Arial"/>
        <family val="2"/>
      </rPr>
      <t>_</t>
    </r>
    <r>
      <rPr>
        <sz val="10"/>
        <color rgb="FF0000FF"/>
        <rFont val="ＭＳ Ｐゴシック"/>
        <family val="2"/>
        <charset val="128"/>
      </rPr>
      <t>アートパネルサンプル　</t>
    </r>
    <r>
      <rPr>
        <sz val="10"/>
        <color rgb="FF0000FF"/>
        <rFont val="Arial"/>
        <family val="2"/>
      </rPr>
      <t>OCS</t>
    </r>
    <r>
      <rPr>
        <sz val="10"/>
        <color rgb="FF0000FF"/>
        <rFont val="ＭＳ ゴシック"/>
        <family val="3"/>
        <charset val="128"/>
      </rPr>
      <t>送料　</t>
    </r>
    <r>
      <rPr>
        <sz val="10"/>
        <color rgb="FF0000FF"/>
        <rFont val="Arial"/>
        <family val="2"/>
      </rPr>
      <t>26013696800 20KG 1</t>
    </r>
    <r>
      <rPr>
        <sz val="10"/>
        <color rgb="FF0000FF"/>
        <rFont val="ＭＳ ゴシック"/>
        <family val="3"/>
        <charset val="128"/>
      </rPr>
      <t>箱</t>
    </r>
    <r>
      <rPr>
        <sz val="10"/>
        <color rgb="FF0000FF"/>
        <rFont val="Arial"/>
        <family val="2"/>
      </rPr>
      <t xml:space="preserve"> 2022/07/06</t>
    </r>
    <phoneticPr fontId="18"/>
  </si>
  <si>
    <r>
      <t>2022/09/13_</t>
    </r>
    <r>
      <rPr>
        <sz val="10"/>
        <color rgb="FF0000FF"/>
        <rFont val="ＭＳ ゴシック"/>
        <family val="3"/>
        <charset val="128"/>
      </rPr>
      <t>研究開発費</t>
    </r>
    <r>
      <rPr>
        <sz val="10"/>
        <color rgb="FF0000FF"/>
        <rFont val="Arial"/>
        <family val="2"/>
      </rPr>
      <t>_</t>
    </r>
    <r>
      <rPr>
        <sz val="10"/>
        <color rgb="FF0000FF"/>
        <rFont val="ＭＳ Ｐゴシック"/>
        <family val="2"/>
        <charset val="128"/>
      </rPr>
      <t>ウォールステッカーサンプル　商品代金</t>
    </r>
    <phoneticPr fontId="18"/>
  </si>
  <si>
    <t>2022/09/13_研究開発費_ウォールステッカーサンプル　商品代金</t>
  </si>
  <si>
    <r>
      <t>2022/09/13_</t>
    </r>
    <r>
      <rPr>
        <sz val="10"/>
        <color rgb="FF0000FF"/>
        <rFont val="ＭＳ ゴシック"/>
        <family val="3"/>
        <charset val="128"/>
      </rPr>
      <t>研究開発費</t>
    </r>
    <r>
      <rPr>
        <sz val="10"/>
        <color rgb="FF0000FF"/>
        <rFont val="Arial"/>
        <family val="2"/>
      </rPr>
      <t>_</t>
    </r>
    <r>
      <rPr>
        <sz val="10"/>
        <color rgb="FF0000FF"/>
        <rFont val="ＭＳ ゴシック"/>
        <family val="3"/>
        <charset val="128"/>
      </rPr>
      <t>ウォールステッカーサンプル　商品代金</t>
    </r>
    <phoneticPr fontId="18"/>
  </si>
  <si>
    <r>
      <t>2022/09/28_</t>
    </r>
    <r>
      <rPr>
        <sz val="10"/>
        <color rgb="FF0000FF"/>
        <rFont val="ＭＳ ゴシック"/>
        <family val="3"/>
        <charset val="128"/>
      </rPr>
      <t>研究開発費</t>
    </r>
    <r>
      <rPr>
        <sz val="10"/>
        <color rgb="FF0000FF"/>
        <rFont val="Arial"/>
        <family val="2"/>
      </rPr>
      <t>_</t>
    </r>
    <r>
      <rPr>
        <sz val="10"/>
        <color rgb="FF0000FF"/>
        <rFont val="ＭＳ Ｐゴシック"/>
        <family val="2"/>
        <charset val="128"/>
      </rPr>
      <t>ウォールステッカーサンプル</t>
    </r>
    <r>
      <rPr>
        <sz val="10"/>
        <color rgb="FF0000FF"/>
        <rFont val="Arial"/>
        <family val="2"/>
      </rPr>
      <t xml:space="preserve"> OCS</t>
    </r>
    <r>
      <rPr>
        <sz val="10"/>
        <color rgb="FF0000FF"/>
        <rFont val="ＭＳ ゴシック"/>
        <family val="3"/>
        <charset val="128"/>
      </rPr>
      <t>送料　</t>
    </r>
    <r>
      <rPr>
        <sz val="10"/>
        <color rgb="FF0000FF"/>
        <rFont val="Arial"/>
        <family val="2"/>
      </rPr>
      <t>26013490086 11KG 1</t>
    </r>
    <r>
      <rPr>
        <sz val="10"/>
        <color rgb="FF0000FF"/>
        <rFont val="ＭＳ ゴシック"/>
        <family val="3"/>
        <charset val="128"/>
      </rPr>
      <t>箱</t>
    </r>
    <r>
      <rPr>
        <sz val="10"/>
        <color rgb="FF0000FF"/>
        <rFont val="Arial"/>
        <family val="2"/>
      </rPr>
      <t xml:space="preserve"> 2022/09/27</t>
    </r>
    <phoneticPr fontId="18"/>
  </si>
  <si>
    <r>
      <t>2022/09/30_</t>
    </r>
    <r>
      <rPr>
        <sz val="10"/>
        <color rgb="FF0000FF"/>
        <rFont val="ＭＳ ゴシック"/>
        <family val="3"/>
        <charset val="128"/>
      </rPr>
      <t>研究開発費</t>
    </r>
    <r>
      <rPr>
        <sz val="10"/>
        <color rgb="FF0000FF"/>
        <rFont val="Arial"/>
        <family val="3"/>
      </rPr>
      <t>_</t>
    </r>
    <r>
      <rPr>
        <sz val="10"/>
        <color rgb="FF0000FF"/>
        <rFont val="ＭＳ Ｐゴシック"/>
        <family val="3"/>
        <charset val="128"/>
      </rPr>
      <t>アートパネルサンプル</t>
    </r>
    <r>
      <rPr>
        <sz val="10"/>
        <color rgb="FF0000FF"/>
        <rFont val="ＭＳ Ｐゴシック"/>
        <family val="2"/>
        <charset val="128"/>
      </rPr>
      <t>　商品代金</t>
    </r>
    <rPh sb="28" eb="32">
      <t>ショウヒンダイキン</t>
    </rPh>
    <phoneticPr fontId="18"/>
  </si>
  <si>
    <r>
      <t>2022/10/08_</t>
    </r>
    <r>
      <rPr>
        <sz val="10"/>
        <color rgb="FF0000FF"/>
        <rFont val="ＭＳ ゴシック"/>
        <family val="3"/>
        <charset val="128"/>
      </rPr>
      <t>預け金</t>
    </r>
    <r>
      <rPr>
        <sz val="10"/>
        <color rgb="FF0000FF"/>
        <rFont val="Arial"/>
        <family val="2"/>
      </rPr>
      <t>_</t>
    </r>
    <r>
      <rPr>
        <sz val="10"/>
        <color rgb="FF0000FF"/>
        <rFont val="ＭＳ ゴシック"/>
        <family val="3"/>
        <charset val="128"/>
      </rPr>
      <t>アートパネルサンプル 欠品</t>
    </r>
    <r>
      <rPr>
        <sz val="10"/>
        <color rgb="FF0000FF"/>
        <rFont val="Arial"/>
        <family val="2"/>
      </rPr>
      <t xml:space="preserve"> </t>
    </r>
    <r>
      <rPr>
        <sz val="10"/>
        <color rgb="FF0000FF"/>
        <rFont val="ＭＳ ゴシック"/>
        <family val="3"/>
        <charset val="128"/>
      </rPr>
      <t>返金</t>
    </r>
    <r>
      <rPr>
        <sz val="10"/>
        <color rgb="FF0000FF"/>
        <rFont val="Arial"/>
        <family val="2"/>
      </rPr>
      <t xml:space="preserve"> </t>
    </r>
    <r>
      <rPr>
        <sz val="10"/>
        <color rgb="FF0000FF"/>
        <rFont val="ＭＳ ゴシック"/>
        <family val="3"/>
        <charset val="128"/>
      </rPr>
      <t>入金</t>
    </r>
    <phoneticPr fontId="18"/>
  </si>
  <si>
    <r>
      <t>2022/10/12_</t>
    </r>
    <r>
      <rPr>
        <sz val="10"/>
        <color rgb="FF0000FF"/>
        <rFont val="ＭＳ ゴシック"/>
        <family val="3"/>
        <charset val="128"/>
      </rPr>
      <t>研究開発費</t>
    </r>
    <r>
      <rPr>
        <sz val="10"/>
        <color rgb="FF0000FF"/>
        <rFont val="Arial"/>
        <family val="2"/>
      </rPr>
      <t>_</t>
    </r>
    <r>
      <rPr>
        <sz val="10"/>
        <color rgb="FF0000FF"/>
        <rFont val="ＭＳ Ｐゴシック"/>
        <family val="2"/>
        <charset val="128"/>
      </rPr>
      <t>アートパネルサンプル　</t>
    </r>
    <r>
      <rPr>
        <sz val="10"/>
        <color rgb="FF0000FF"/>
        <rFont val="ＭＳ ゴシック"/>
        <family val="3"/>
        <charset val="128"/>
      </rPr>
      <t>返品送料</t>
    </r>
    <phoneticPr fontId="18"/>
  </si>
  <si>
    <r>
      <t>2022/10/26_</t>
    </r>
    <r>
      <rPr>
        <sz val="10"/>
        <color rgb="FF0000FF"/>
        <rFont val="ＭＳ ゴシック"/>
        <family val="3"/>
        <charset val="128"/>
      </rPr>
      <t>研究開発費</t>
    </r>
    <r>
      <rPr>
        <sz val="10"/>
        <color rgb="FF0000FF"/>
        <rFont val="Arial"/>
        <family val="2"/>
      </rPr>
      <t>_</t>
    </r>
    <r>
      <rPr>
        <sz val="10"/>
        <color rgb="FF0000FF"/>
        <rFont val="ＭＳ Ｐゴシック"/>
        <family val="2"/>
        <charset val="128"/>
      </rPr>
      <t>ウォールステッカーサンプル　商品代金</t>
    </r>
    <phoneticPr fontId="18"/>
  </si>
  <si>
    <t>26013490112</t>
  </si>
  <si>
    <t>26013490086</t>
  </si>
  <si>
    <t>26013696800</t>
  </si>
  <si>
    <r>
      <t>2022/10/26_</t>
    </r>
    <r>
      <rPr>
        <sz val="10"/>
        <color rgb="FF0000FF"/>
        <rFont val="ＭＳ ゴシック"/>
        <family val="3"/>
        <charset val="128"/>
      </rPr>
      <t>研究開発費</t>
    </r>
    <r>
      <rPr>
        <sz val="10"/>
        <color rgb="FF0000FF"/>
        <rFont val="Arial"/>
        <family val="2"/>
      </rPr>
      <t>_</t>
    </r>
    <r>
      <rPr>
        <sz val="10"/>
        <color rgb="FF0000FF"/>
        <rFont val="ＭＳ Ｐゴシック"/>
        <family val="2"/>
        <charset val="128"/>
      </rPr>
      <t>ウォールステッカーサンプル</t>
    </r>
    <r>
      <rPr>
        <sz val="10"/>
        <color rgb="FF0000FF"/>
        <rFont val="Arial"/>
        <family val="2"/>
      </rPr>
      <t xml:space="preserve"> OCS</t>
    </r>
    <r>
      <rPr>
        <sz val="10"/>
        <color rgb="FF0000FF"/>
        <rFont val="ＭＳ ゴシック"/>
        <family val="3"/>
        <charset val="128"/>
      </rPr>
      <t xml:space="preserve">送料 </t>
    </r>
    <r>
      <rPr>
        <sz val="10"/>
        <color rgb="FF0000FF"/>
        <rFont val="Arial"/>
        <family val="2"/>
      </rPr>
      <t>26013490112 20KG 1</t>
    </r>
    <r>
      <rPr>
        <sz val="10"/>
        <color rgb="FF0000FF"/>
        <rFont val="ＭＳ ゴシック"/>
        <family val="3"/>
        <charset val="128"/>
      </rPr>
      <t>箱</t>
    </r>
    <r>
      <rPr>
        <sz val="10"/>
        <color rgb="FF0000FF"/>
        <rFont val="Arial"/>
        <family val="2"/>
      </rPr>
      <t xml:space="preserve"> 2022/10/25</t>
    </r>
    <phoneticPr fontId="18"/>
  </si>
  <si>
    <r>
      <t>2022/11/22_</t>
    </r>
    <r>
      <rPr>
        <sz val="10"/>
        <color rgb="FF0000FF"/>
        <rFont val="ＭＳ ゴシック"/>
        <family val="3"/>
        <charset val="128"/>
      </rPr>
      <t>研究開発費</t>
    </r>
    <r>
      <rPr>
        <sz val="10"/>
        <color rgb="FF0000FF"/>
        <rFont val="Arial"/>
        <family val="2"/>
      </rPr>
      <t>_</t>
    </r>
    <r>
      <rPr>
        <sz val="10"/>
        <color rgb="FF0000FF"/>
        <rFont val="ＭＳ Ｐゴシック"/>
        <family val="2"/>
        <charset val="128"/>
      </rPr>
      <t>壁掛け時計サンプル 商品代金</t>
    </r>
    <rPh sb="17" eb="19">
      <t>カベカ</t>
    </rPh>
    <rPh sb="20" eb="22">
      <t>ドケイ</t>
    </rPh>
    <rPh sb="27" eb="31">
      <t>ショウヒンダイキン</t>
    </rPh>
    <phoneticPr fontId="18"/>
  </si>
  <si>
    <r>
      <t>2022/11/23_</t>
    </r>
    <r>
      <rPr>
        <sz val="10"/>
        <color rgb="FF0000FF"/>
        <rFont val="ＭＳ ゴシック"/>
        <family val="3"/>
        <charset val="128"/>
      </rPr>
      <t>研究開発費</t>
    </r>
    <r>
      <rPr>
        <sz val="10"/>
        <color rgb="FF0000FF"/>
        <rFont val="Arial"/>
        <family val="2"/>
      </rPr>
      <t>_</t>
    </r>
    <r>
      <rPr>
        <sz val="10"/>
        <color rgb="FF0000FF"/>
        <rFont val="ＭＳ Ｐゴシック"/>
        <family val="2"/>
        <charset val="128"/>
      </rPr>
      <t>壁掛け時計サンプル 商品代金</t>
    </r>
    <rPh sb="17" eb="19">
      <t>カベカ</t>
    </rPh>
    <rPh sb="20" eb="22">
      <t>ドケイ</t>
    </rPh>
    <rPh sb="27" eb="31">
      <t>ショウヒンダイキン</t>
    </rPh>
    <phoneticPr fontId="18"/>
  </si>
  <si>
    <r>
      <t>2022/12/07_</t>
    </r>
    <r>
      <rPr>
        <sz val="10"/>
        <color rgb="FF0000FF"/>
        <rFont val="ＭＳ ゴシック"/>
        <family val="3"/>
        <charset val="128"/>
      </rPr>
      <t>研究開発費</t>
    </r>
    <r>
      <rPr>
        <sz val="10"/>
        <color rgb="FF0000FF"/>
        <rFont val="Arial"/>
        <family val="2"/>
      </rPr>
      <t>_</t>
    </r>
    <r>
      <rPr>
        <sz val="10"/>
        <color rgb="FF0000FF"/>
        <rFont val="ＭＳ Ｐゴシック"/>
        <family val="2"/>
        <charset val="128"/>
      </rPr>
      <t>壁掛け時計サンプル</t>
    </r>
    <r>
      <rPr>
        <sz val="10"/>
        <color rgb="FF0000FF"/>
        <rFont val="Arial"/>
        <family val="2"/>
      </rPr>
      <t xml:space="preserve"> 11</t>
    </r>
    <r>
      <rPr>
        <sz val="10"/>
        <color rgb="FF0000FF"/>
        <rFont val="ＭＳ ゴシック"/>
        <family val="3"/>
        <charset val="128"/>
      </rPr>
      <t>月交品送料</t>
    </r>
    <r>
      <rPr>
        <sz val="10"/>
        <color rgb="FF0000FF"/>
        <rFont val="Arial"/>
        <family val="2"/>
      </rPr>
      <t xml:space="preserve"> </t>
    </r>
    <r>
      <rPr>
        <sz val="10"/>
        <color rgb="FF0000FF"/>
        <rFont val="ＭＳ ゴシック"/>
        <family val="3"/>
        <charset val="128"/>
      </rPr>
      <t>出金</t>
    </r>
    <r>
      <rPr>
        <sz val="10"/>
        <color rgb="FF0000FF"/>
        <rFont val="Arial"/>
        <family val="2"/>
      </rPr>
      <t>6</t>
    </r>
    <r>
      <rPr>
        <sz val="10"/>
        <color rgb="FF0000FF"/>
        <rFont val="ＭＳ ゴシック"/>
        <family val="3"/>
        <charset val="128"/>
      </rPr>
      <t>元</t>
    </r>
    <phoneticPr fontId="18"/>
  </si>
  <si>
    <r>
      <t>2022/12/13_</t>
    </r>
    <r>
      <rPr>
        <sz val="10"/>
        <color rgb="FF0000FF"/>
        <rFont val="ＭＳ ゴシック"/>
        <family val="3"/>
        <charset val="128"/>
      </rPr>
      <t>研究開発費</t>
    </r>
    <r>
      <rPr>
        <sz val="10"/>
        <color rgb="FF0000FF"/>
        <rFont val="Arial"/>
        <family val="2"/>
      </rPr>
      <t>_</t>
    </r>
    <r>
      <rPr>
        <sz val="10"/>
        <color rgb="FF0000FF"/>
        <rFont val="ＭＳ Ｐゴシック"/>
        <family val="2"/>
        <charset val="128"/>
      </rPr>
      <t>壁掛け時計サンプル</t>
    </r>
    <r>
      <rPr>
        <sz val="10"/>
        <color rgb="FF0000FF"/>
        <rFont val="Arial"/>
        <family val="2"/>
      </rPr>
      <t xml:space="preserve"> OCS</t>
    </r>
    <r>
      <rPr>
        <sz val="10"/>
        <color rgb="FF0000FF"/>
        <rFont val="ＭＳ ゴシック"/>
        <family val="3"/>
        <charset val="128"/>
      </rPr>
      <t xml:space="preserve">送料 </t>
    </r>
    <r>
      <rPr>
        <sz val="10"/>
        <color rgb="FF0000FF"/>
        <rFont val="Arial"/>
        <family val="2"/>
      </rPr>
      <t>26013575571 56KG 3</t>
    </r>
    <r>
      <rPr>
        <sz val="10"/>
        <color rgb="FF0000FF"/>
        <rFont val="ＭＳ ゴシック"/>
        <family val="3"/>
        <charset val="128"/>
      </rPr>
      <t>箱</t>
    </r>
    <r>
      <rPr>
        <sz val="10"/>
        <color rgb="FF0000FF"/>
        <rFont val="Arial"/>
        <family val="2"/>
      </rPr>
      <t xml:space="preserve"> 2022/12/12</t>
    </r>
    <phoneticPr fontId="18"/>
  </si>
  <si>
    <t>26013575571</t>
  </si>
  <si>
    <t>PO-0002</t>
    <phoneticPr fontId="18"/>
  </si>
  <si>
    <t>PO-0003</t>
    <phoneticPr fontId="18"/>
  </si>
  <si>
    <t>PO-0001_商品代金（552元×19.64円／元）</t>
  </si>
  <si>
    <t>PO-0001_検品作業代（175元×19.52円／元）</t>
  </si>
  <si>
    <t>PO-0001_OCS国際送料（555元×19.52円／元、12kg、1箱）</t>
  </si>
  <si>
    <t>PO-0002_商品代金（625元×19.70円／元）</t>
  </si>
  <si>
    <t>PO-0002_OCS国際送料（595元×19.70円／元、13kg、1箱）</t>
  </si>
  <si>
    <t>PO-0002_資材費OPP袋80枚（40元×19.70円／元）</t>
  </si>
  <si>
    <t>PO-0002_検品・発送作業代（200元×19.70円／元）</t>
  </si>
  <si>
    <t>PO-0003_商品代金（143元×19.66円／元）</t>
  </si>
  <si>
    <t>PO-0003_商品代金（10,000元×19.66円／元）</t>
  </si>
  <si>
    <t>PO-0003_返品送料（△65元×19.92円／元）</t>
  </si>
  <si>
    <t>PO-0003_快速船便国際送料（1,664元×19.92円／元、208kg、8箱）</t>
  </si>
  <si>
    <t>PO-0003_商品代金返金　不良品（△1,536元×19.92円／元）</t>
  </si>
  <si>
    <t>PO-0003_検品・発送作業代（450元×19.92円／元、18時間）</t>
  </si>
  <si>
    <t>PO-0003_資材代OPP袋30枚（15元×19.92円／元）</t>
  </si>
  <si>
    <t>YP為替差損（1219元×20円／元）</t>
  </si>
  <si>
    <r>
      <t>2022/12/13_</t>
    </r>
    <r>
      <rPr>
        <sz val="10"/>
        <color rgb="FF0000FF"/>
        <rFont val="ＭＳ Ｐゴシック"/>
        <family val="2"/>
        <charset val="128"/>
      </rPr>
      <t>端数調整</t>
    </r>
    <rPh sb="11" eb="15">
      <t>ハスウチョウセイ</t>
    </rPh>
    <phoneticPr fontId="18"/>
  </si>
  <si>
    <r>
      <t>THE</t>
    </r>
    <r>
      <rPr>
        <sz val="10"/>
        <color rgb="FF0000FF"/>
        <rFont val="游ゴシック"/>
        <family val="2"/>
        <charset val="128"/>
      </rPr>
      <t>直行便引き落とし　為替手数料他差額（</t>
    </r>
    <r>
      <rPr>
        <sz val="10"/>
        <color rgb="FF0000FF"/>
        <rFont val="Arial"/>
        <family val="2"/>
      </rPr>
      <t>717</t>
    </r>
    <r>
      <rPr>
        <sz val="10"/>
        <color rgb="FF0000FF"/>
        <rFont val="游ゴシック"/>
        <family val="2"/>
        <charset val="128"/>
      </rPr>
      <t>元×</t>
    </r>
    <r>
      <rPr>
        <sz val="10"/>
        <color rgb="FF0000FF"/>
        <rFont val="Arial"/>
        <family val="2"/>
      </rPr>
      <t>20.53</t>
    </r>
    <r>
      <rPr>
        <sz val="10"/>
        <color rgb="FF0000FF"/>
        <rFont val="游ゴシック"/>
        <family val="2"/>
        <charset val="128"/>
      </rPr>
      <t>円／元）</t>
    </r>
    <phoneticPr fontId="18"/>
  </si>
  <si>
    <r>
      <t>THE</t>
    </r>
    <r>
      <rPr>
        <sz val="10"/>
        <color rgb="FF0000FF"/>
        <rFont val="游ゴシック"/>
        <family val="2"/>
        <charset val="128"/>
      </rPr>
      <t>直行便　預け金引き落とし（</t>
    </r>
    <r>
      <rPr>
        <sz val="10"/>
        <color rgb="FF0000FF"/>
        <rFont val="Arial"/>
        <family val="2"/>
      </rPr>
      <t>13,896</t>
    </r>
    <r>
      <rPr>
        <sz val="10"/>
        <color rgb="FF0000FF"/>
        <rFont val="游ゴシック"/>
        <family val="2"/>
        <charset val="128"/>
      </rPr>
      <t>元×</t>
    </r>
    <r>
      <rPr>
        <sz val="10"/>
        <color rgb="FF0000FF"/>
        <rFont val="Arial"/>
        <family val="2"/>
      </rPr>
      <t>20.53</t>
    </r>
    <r>
      <rPr>
        <sz val="10"/>
        <color rgb="FF0000FF"/>
        <rFont val="游ゴシック"/>
        <family val="2"/>
        <charset val="128"/>
      </rPr>
      <t>円／元）</t>
    </r>
    <phoneticPr fontId="18"/>
  </si>
  <si>
    <r>
      <t>THE</t>
    </r>
    <r>
      <rPr>
        <sz val="10"/>
        <color rgb="FF0000FF"/>
        <rFont val="游ゴシック"/>
        <family val="2"/>
        <charset val="128"/>
      </rPr>
      <t>直行便　入金（</t>
    </r>
    <r>
      <rPr>
        <sz val="10"/>
        <color rgb="FF0000FF"/>
        <rFont val="Arial"/>
        <family val="2"/>
      </rPr>
      <t>15,060</t>
    </r>
    <r>
      <rPr>
        <sz val="10"/>
        <color rgb="FF0000FF"/>
        <rFont val="游ゴシック"/>
        <family val="2"/>
        <charset val="128"/>
      </rPr>
      <t>元×</t>
    </r>
    <r>
      <rPr>
        <sz val="10"/>
        <color rgb="FF0000FF"/>
        <rFont val="Arial"/>
        <family val="2"/>
      </rPr>
      <t>19.92</t>
    </r>
    <r>
      <rPr>
        <sz val="10"/>
        <color rgb="FF0000FF"/>
        <rFont val="游ゴシック"/>
        <family val="2"/>
        <charset val="128"/>
      </rPr>
      <t>円／元）</t>
    </r>
    <phoneticPr fontId="18"/>
  </si>
  <si>
    <r>
      <rPr>
        <sz val="10"/>
        <color rgb="FF0000FF"/>
        <rFont val="ＭＳ ゴシック"/>
        <family val="3"/>
        <charset val="128"/>
      </rPr>
      <t>食事用スタイサンプル</t>
    </r>
    <r>
      <rPr>
        <sz val="10"/>
        <color rgb="FF0000FF"/>
        <rFont val="Arial"/>
        <family val="2"/>
      </rPr>
      <t xml:space="preserve"> </t>
    </r>
    <r>
      <rPr>
        <sz val="10"/>
        <color rgb="FF0000FF"/>
        <rFont val="ＭＳ ゴシック"/>
        <family val="3"/>
        <charset val="128"/>
      </rPr>
      <t>工場</t>
    </r>
    <r>
      <rPr>
        <sz val="10"/>
        <color rgb="FF0000FF"/>
        <rFont val="Arial"/>
        <family val="2"/>
      </rPr>
      <t>9 {34.8</t>
    </r>
    <r>
      <rPr>
        <sz val="10"/>
        <color rgb="FF0000FF"/>
        <rFont val="ＭＳ ゴシック"/>
        <family val="3"/>
        <charset val="128"/>
      </rPr>
      <t>元</t>
    </r>
    <r>
      <rPr>
        <sz val="10"/>
        <color rgb="FF0000FF"/>
        <rFont val="Arial"/>
        <family val="2"/>
      </rPr>
      <t xml:space="preserve"> * 19.39</t>
    </r>
    <r>
      <rPr>
        <sz val="10"/>
        <color rgb="FF0000FF"/>
        <rFont val="ＭＳ ゴシック"/>
        <family val="3"/>
        <charset val="128"/>
      </rPr>
      <t>円</t>
    </r>
    <r>
      <rPr>
        <sz val="10"/>
        <color rgb="FF0000FF"/>
        <rFont val="Arial"/>
        <family val="2"/>
      </rPr>
      <t>/</t>
    </r>
    <r>
      <rPr>
        <sz val="10"/>
        <color rgb="FF0000FF"/>
        <rFont val="ＭＳ ゴシック"/>
        <family val="3"/>
        <charset val="128"/>
      </rPr>
      <t>元</t>
    </r>
    <r>
      <rPr>
        <sz val="10"/>
        <color rgb="FF0000FF"/>
        <rFont val="Arial"/>
        <family val="2"/>
      </rPr>
      <t>, PO-0004}</t>
    </r>
    <phoneticPr fontId="18"/>
  </si>
  <si>
    <r>
      <rPr>
        <sz val="10"/>
        <color rgb="FF0000FF"/>
        <rFont val="ＭＳ ゴシック"/>
        <family val="3"/>
        <charset val="128"/>
      </rPr>
      <t>お食事エプロン</t>
    </r>
    <r>
      <rPr>
        <sz val="10"/>
        <color rgb="FF0000FF"/>
        <rFont val="Arial"/>
        <family val="2"/>
      </rPr>
      <t>PU</t>
    </r>
    <r>
      <rPr>
        <sz val="10"/>
        <color rgb="FF0000FF"/>
        <rFont val="ＭＳ ゴシック"/>
        <family val="3"/>
        <charset val="128"/>
      </rPr>
      <t>袖なし</t>
    </r>
    <r>
      <rPr>
        <sz val="10"/>
        <color rgb="FF0000FF"/>
        <rFont val="Arial"/>
        <family val="2"/>
      </rPr>
      <t xml:space="preserve"> </t>
    </r>
    <r>
      <rPr>
        <sz val="10"/>
        <color rgb="FF0000FF"/>
        <rFont val="ＭＳ ゴシック"/>
        <family val="3"/>
        <charset val="128"/>
      </rPr>
      <t>検品</t>
    </r>
    <r>
      <rPr>
        <sz val="10"/>
        <color rgb="FF0000FF"/>
        <rFont val="Arial"/>
        <family val="2"/>
      </rPr>
      <t xml:space="preserve"> 6h {150</t>
    </r>
    <r>
      <rPr>
        <sz val="10"/>
        <color rgb="FF0000FF"/>
        <rFont val="ＭＳ ゴシック"/>
        <family val="3"/>
        <charset val="128"/>
      </rPr>
      <t>元</t>
    </r>
    <r>
      <rPr>
        <sz val="10"/>
        <color rgb="FF0000FF"/>
        <rFont val="Arial"/>
        <family val="2"/>
      </rPr>
      <t xml:space="preserve"> * 21.9</t>
    </r>
    <r>
      <rPr>
        <sz val="10"/>
        <color rgb="FF0000FF"/>
        <rFont val="ＭＳ ゴシック"/>
        <family val="3"/>
        <charset val="128"/>
      </rPr>
      <t>円</t>
    </r>
    <r>
      <rPr>
        <sz val="10"/>
        <color rgb="FF0000FF"/>
        <rFont val="Arial"/>
        <family val="2"/>
      </rPr>
      <t>/</t>
    </r>
    <r>
      <rPr>
        <sz val="10"/>
        <color rgb="FF0000FF"/>
        <rFont val="ＭＳ ゴシック"/>
        <family val="3"/>
        <charset val="128"/>
      </rPr>
      <t>元</t>
    </r>
    <r>
      <rPr>
        <sz val="10"/>
        <color rgb="FF0000FF"/>
        <rFont val="Arial"/>
        <family val="2"/>
      </rPr>
      <t>, PO-0015}</t>
    </r>
    <phoneticPr fontId="18"/>
  </si>
  <si>
    <r>
      <rPr>
        <sz val="10"/>
        <color rgb="FF0000FF"/>
        <rFont val="ＭＳ ゴシック"/>
        <family val="3"/>
        <charset val="128"/>
      </rPr>
      <t>お食事エプロン</t>
    </r>
    <r>
      <rPr>
        <sz val="10"/>
        <color rgb="FF0000FF"/>
        <rFont val="Arial"/>
        <family val="2"/>
      </rPr>
      <t>PU</t>
    </r>
    <r>
      <rPr>
        <sz val="10"/>
        <color rgb="FF0000FF"/>
        <rFont val="ＭＳ ゴシック"/>
        <family val="3"/>
        <charset val="128"/>
      </rPr>
      <t>袖なし　</t>
    </r>
    <r>
      <rPr>
        <sz val="10"/>
        <color rgb="FF0000FF"/>
        <rFont val="Arial"/>
        <family val="2"/>
      </rPr>
      <t>150</t>
    </r>
    <r>
      <rPr>
        <sz val="10"/>
        <color rgb="FF0000FF"/>
        <rFont val="ＭＳ ゴシック"/>
        <family val="3"/>
        <charset val="128"/>
      </rPr>
      <t>個</t>
    </r>
    <r>
      <rPr>
        <sz val="10"/>
        <color rgb="FF0000FF"/>
        <rFont val="Arial"/>
        <family val="2"/>
      </rPr>
      <t xml:space="preserve"> </t>
    </r>
    <r>
      <rPr>
        <sz val="10"/>
        <color rgb="FF0000FF"/>
        <rFont val="ＭＳ ゴシック"/>
        <family val="3"/>
        <charset val="128"/>
      </rPr>
      <t>検品</t>
    </r>
    <r>
      <rPr>
        <sz val="10"/>
        <color rgb="FF0000FF"/>
        <rFont val="Arial"/>
        <family val="2"/>
      </rPr>
      <t>17h {425</t>
    </r>
    <r>
      <rPr>
        <sz val="10"/>
        <color rgb="FF0000FF"/>
        <rFont val="ＭＳ ゴシック"/>
        <family val="3"/>
        <charset val="128"/>
      </rPr>
      <t>元</t>
    </r>
    <r>
      <rPr>
        <sz val="10"/>
        <color rgb="FF0000FF"/>
        <rFont val="Arial"/>
        <family val="2"/>
      </rPr>
      <t xml:space="preserve"> * 21.69</t>
    </r>
    <r>
      <rPr>
        <sz val="10"/>
        <color rgb="FF0000FF"/>
        <rFont val="ＭＳ ゴシック"/>
        <family val="3"/>
        <charset val="128"/>
      </rPr>
      <t>円</t>
    </r>
    <r>
      <rPr>
        <sz val="10"/>
        <color rgb="FF0000FF"/>
        <rFont val="Arial"/>
        <family val="2"/>
      </rPr>
      <t>/</t>
    </r>
    <r>
      <rPr>
        <sz val="10"/>
        <color rgb="FF0000FF"/>
        <rFont val="ＭＳ ゴシック"/>
        <family val="3"/>
        <charset val="128"/>
      </rPr>
      <t>元</t>
    </r>
    <r>
      <rPr>
        <sz val="10"/>
        <color rgb="FF0000FF"/>
        <rFont val="Arial"/>
        <family val="2"/>
      </rPr>
      <t>, PO-0012}</t>
    </r>
    <phoneticPr fontId="18"/>
  </si>
  <si>
    <r>
      <rPr>
        <sz val="10"/>
        <color rgb="FF0000FF"/>
        <rFont val="ＭＳ ゴシック"/>
        <family val="3"/>
        <charset val="128"/>
      </rPr>
      <t>洗濯タグを工場に発送する国内送料</t>
    </r>
    <r>
      <rPr>
        <sz val="10"/>
        <color rgb="FF0000FF"/>
        <rFont val="Arial"/>
        <family val="2"/>
      </rPr>
      <t xml:space="preserve"> 300</t>
    </r>
    <r>
      <rPr>
        <sz val="10"/>
        <color rgb="FF0000FF"/>
        <rFont val="ＭＳ ゴシック"/>
        <family val="3"/>
        <charset val="128"/>
      </rPr>
      <t>個</t>
    </r>
    <r>
      <rPr>
        <sz val="10"/>
        <color rgb="FF0000FF"/>
        <rFont val="Arial"/>
        <family val="2"/>
      </rPr>
      <t xml:space="preserve"> {8</t>
    </r>
    <r>
      <rPr>
        <sz val="10"/>
        <color rgb="FF0000FF"/>
        <rFont val="ＭＳ ゴシック"/>
        <family val="3"/>
        <charset val="128"/>
      </rPr>
      <t>元</t>
    </r>
    <r>
      <rPr>
        <sz val="10"/>
        <color rgb="FF0000FF"/>
        <rFont val="Arial"/>
        <family val="2"/>
      </rPr>
      <t xml:space="preserve"> * 21.41</t>
    </r>
    <r>
      <rPr>
        <sz val="10"/>
        <color rgb="FF0000FF"/>
        <rFont val="ＭＳ ゴシック"/>
        <family val="3"/>
        <charset val="128"/>
      </rPr>
      <t>円</t>
    </r>
    <r>
      <rPr>
        <sz val="10"/>
        <color rgb="FF0000FF"/>
        <rFont val="Arial"/>
        <family val="2"/>
      </rPr>
      <t>/</t>
    </r>
    <r>
      <rPr>
        <sz val="10"/>
        <color rgb="FF0000FF"/>
        <rFont val="ＭＳ ゴシック"/>
        <family val="3"/>
        <charset val="128"/>
      </rPr>
      <t>元</t>
    </r>
    <r>
      <rPr>
        <sz val="10"/>
        <color rgb="FF0000FF"/>
        <rFont val="Arial"/>
        <family val="2"/>
      </rPr>
      <t>, PO-0014}</t>
    </r>
    <phoneticPr fontId="18"/>
  </si>
  <si>
    <r>
      <rPr>
        <sz val="10"/>
        <color rgb="FF0000FF"/>
        <rFont val="ＭＳ ゴシック"/>
        <family val="3"/>
        <charset val="128"/>
      </rPr>
      <t>お食事エプロン</t>
    </r>
    <r>
      <rPr>
        <sz val="10"/>
        <color rgb="FF0000FF"/>
        <rFont val="Arial"/>
        <family val="2"/>
      </rPr>
      <t>PU</t>
    </r>
    <r>
      <rPr>
        <sz val="10"/>
        <color rgb="FF0000FF"/>
        <rFont val="ＭＳ ゴシック"/>
        <family val="3"/>
        <charset val="128"/>
      </rPr>
      <t>袖なし　</t>
    </r>
    <r>
      <rPr>
        <sz val="10"/>
        <color rgb="FF0000FF"/>
        <rFont val="Arial"/>
        <family val="2"/>
      </rPr>
      <t>6</t>
    </r>
    <r>
      <rPr>
        <sz val="10"/>
        <color rgb="FF0000FF"/>
        <rFont val="ＭＳ ゴシック"/>
        <family val="3"/>
        <charset val="128"/>
      </rPr>
      <t>色</t>
    </r>
    <r>
      <rPr>
        <sz val="10"/>
        <color rgb="FF0000FF"/>
        <rFont val="游ゴシック"/>
        <family val="2"/>
        <charset val="128"/>
      </rPr>
      <t>×</t>
    </r>
    <r>
      <rPr>
        <sz val="10"/>
        <color rgb="FF0000FF"/>
        <rFont val="Arial"/>
        <family val="2"/>
      </rPr>
      <t>50</t>
    </r>
    <r>
      <rPr>
        <sz val="10"/>
        <color rgb="FF0000FF"/>
        <rFont val="ＭＳ ゴシック"/>
        <family val="3"/>
        <charset val="128"/>
      </rPr>
      <t>個</t>
    </r>
    <r>
      <rPr>
        <sz val="10"/>
        <color rgb="FF0000FF"/>
        <rFont val="Arial"/>
        <family val="2"/>
      </rPr>
      <t xml:space="preserve"> {3185</t>
    </r>
    <r>
      <rPr>
        <sz val="10"/>
        <color rgb="FF0000FF"/>
        <rFont val="ＭＳ ゴシック"/>
        <family val="3"/>
        <charset val="128"/>
      </rPr>
      <t>元</t>
    </r>
    <r>
      <rPr>
        <sz val="10"/>
        <color rgb="FF0000FF"/>
        <rFont val="Arial"/>
        <family val="2"/>
      </rPr>
      <t xml:space="preserve"> * 21.69</t>
    </r>
    <r>
      <rPr>
        <sz val="10"/>
        <color rgb="FF0000FF"/>
        <rFont val="ＭＳ ゴシック"/>
        <family val="3"/>
        <charset val="128"/>
      </rPr>
      <t>円</t>
    </r>
    <r>
      <rPr>
        <sz val="10"/>
        <color rgb="FF0000FF"/>
        <rFont val="Arial"/>
        <family val="2"/>
      </rPr>
      <t>/</t>
    </r>
    <r>
      <rPr>
        <sz val="10"/>
        <color rgb="FF0000FF"/>
        <rFont val="ＭＳ ゴシック"/>
        <family val="3"/>
        <charset val="128"/>
      </rPr>
      <t>元</t>
    </r>
    <r>
      <rPr>
        <sz val="10"/>
        <color rgb="FF0000FF"/>
        <rFont val="Arial"/>
        <family val="2"/>
      </rPr>
      <t>, PO-0014}</t>
    </r>
    <phoneticPr fontId="18"/>
  </si>
  <si>
    <r>
      <rPr>
        <sz val="10"/>
        <color rgb="FF0000FF"/>
        <rFont val="ＭＳ ゴシック"/>
        <family val="3"/>
        <charset val="128"/>
      </rPr>
      <t>お食事エプロン</t>
    </r>
    <r>
      <rPr>
        <sz val="10"/>
        <color rgb="FF0000FF"/>
        <rFont val="Arial"/>
        <family val="2"/>
      </rPr>
      <t>PU</t>
    </r>
    <r>
      <rPr>
        <sz val="10"/>
        <color rgb="FF0000FF"/>
        <rFont val="ＭＳ ゴシック"/>
        <family val="3"/>
        <charset val="128"/>
      </rPr>
      <t>袖なし</t>
    </r>
    <r>
      <rPr>
        <sz val="10"/>
        <color rgb="FF0000FF"/>
        <rFont val="Arial"/>
        <family val="2"/>
      </rPr>
      <t xml:space="preserve"> </t>
    </r>
    <r>
      <rPr>
        <sz val="10"/>
        <color rgb="FF0000FF"/>
        <rFont val="ＭＳ ゴシック"/>
        <family val="3"/>
        <charset val="128"/>
      </rPr>
      <t>検品</t>
    </r>
    <r>
      <rPr>
        <sz val="10"/>
        <color rgb="FF0000FF"/>
        <rFont val="Arial"/>
        <family val="2"/>
      </rPr>
      <t xml:space="preserve"> 1</t>
    </r>
    <r>
      <rPr>
        <sz val="10"/>
        <color rgb="FF0000FF"/>
        <rFont val="ＭＳ ゴシック"/>
        <family val="3"/>
        <charset val="128"/>
      </rPr>
      <t>ｈ</t>
    </r>
    <r>
      <rPr>
        <sz val="10"/>
        <color rgb="FF0000FF"/>
        <rFont val="Arial"/>
        <family val="2"/>
      </rPr>
      <t xml:space="preserve"> {25</t>
    </r>
    <r>
      <rPr>
        <sz val="10"/>
        <color rgb="FF0000FF"/>
        <rFont val="ＭＳ ゴシック"/>
        <family val="3"/>
        <charset val="128"/>
      </rPr>
      <t>元</t>
    </r>
    <r>
      <rPr>
        <sz val="10"/>
        <color rgb="FF0000FF"/>
        <rFont val="Arial"/>
        <family val="2"/>
      </rPr>
      <t xml:space="preserve"> * 20.96</t>
    </r>
    <r>
      <rPr>
        <sz val="10"/>
        <color rgb="FF0000FF"/>
        <rFont val="ＭＳ ゴシック"/>
        <family val="3"/>
        <charset val="128"/>
      </rPr>
      <t>円</t>
    </r>
    <r>
      <rPr>
        <sz val="10"/>
        <color rgb="FF0000FF"/>
        <rFont val="Arial"/>
        <family val="2"/>
      </rPr>
      <t>/</t>
    </r>
    <r>
      <rPr>
        <sz val="10"/>
        <color rgb="FF0000FF"/>
        <rFont val="ＭＳ ゴシック"/>
        <family val="3"/>
        <charset val="128"/>
      </rPr>
      <t>元</t>
    </r>
    <r>
      <rPr>
        <sz val="10"/>
        <color rgb="FF0000FF"/>
        <rFont val="Arial"/>
        <family val="2"/>
      </rPr>
      <t>, PO-0014}</t>
    </r>
    <phoneticPr fontId="18"/>
  </si>
  <si>
    <t>OCS お食事エプロンPU袖なし 梱包重さ：13.5kgテープ代：1*5元=5元ダンボール代：1*10元=10元（50*40*40）77+26*17+5+10＝534元 {534元 * 22.2円/元, 26019113411}</t>
  </si>
  <si>
    <t>食事エプロンPU袖なし 13個梱包重さ：23kgテープ代：1*5元=5元19*23+5=442元 2024.6.4. 2024.6.17 {52元 * 22.2円/元, 26019113595}</t>
  </si>
  <si>
    <t>OCS お食事エプロンPU袖なし 144個 2024.8.6梱包重さ：9kgテープ代：1*5元=5元ダンボール代：1*9元=9元（50*40*30）77+17*17+5+9＝380元 {380元 * 20.02円/元, 26019114575}</t>
  </si>
  <si>
    <t>OCS お食事エプロンPU袖なし 2024.8.27梱包重さ：14.5kgテープ代：1*5元=5元ダンボール代：1*10.6元=10.6元（50*40*45）77+28*17+5+10.6＝380元 {568.6元 * 20.02円/元, 26019114811}</t>
  </si>
  <si>
    <t>OCS お食事エプロンPU袖なし 548個 梱包重さ：30kgテープ代：2*5元=10元ダンボール代：2*10.6元＝21.2元（50*40*45）30*19+10+21.2=601.2元{601.2元 * 20.65円/元, 26020203580}</t>
  </si>
  <si>
    <t>お食事エプロンPU袖なし 合計3箱 2024.11.8梱包重さ：5kgテープ代：1*5元=5元77+9*17+5=235元 {562.5元 * 20.67円/元, DQS2945757EQ}</t>
  </si>
  <si>
    <r>
      <rPr>
        <sz val="10"/>
        <color rgb="FF0000FF"/>
        <rFont val="ＭＳ ゴシック"/>
        <family val="3"/>
        <charset val="128"/>
      </rPr>
      <t>振替</t>
    </r>
    <r>
      <rPr>
        <sz val="10"/>
        <color rgb="FF0000FF"/>
        <rFont val="Arial"/>
        <family val="2"/>
      </rPr>
      <t>(</t>
    </r>
    <r>
      <rPr>
        <sz val="10"/>
        <color rgb="FF0000FF"/>
        <rFont val="ＭＳ ゴシック"/>
        <family val="3"/>
        <charset val="128"/>
      </rPr>
      <t>日本円</t>
    </r>
    <r>
      <rPr>
        <sz val="10"/>
        <color rgb="FF0000FF"/>
        <rFont val="游ゴシック"/>
        <family val="2"/>
        <charset val="128"/>
      </rPr>
      <t>→</t>
    </r>
    <r>
      <rPr>
        <sz val="10"/>
        <color rgb="FF0000FF"/>
        <rFont val="ＭＳ ゴシック"/>
        <family val="3"/>
        <charset val="128"/>
      </rPr>
      <t>元</t>
    </r>
    <r>
      <rPr>
        <sz val="10"/>
        <color rgb="FF0000FF"/>
        <rFont val="Arial"/>
        <family val="2"/>
      </rPr>
      <t>)</t>
    </r>
    <r>
      <rPr>
        <sz val="10"/>
        <color rgb="FF0000FF"/>
        <rFont val="ＭＳ ゴシック"/>
        <family val="3"/>
        <charset val="128"/>
      </rPr>
      <t>換算レート</t>
    </r>
    <r>
      <rPr>
        <sz val="10"/>
        <color rgb="FF0000FF"/>
        <rFont val="Arial"/>
        <family val="2"/>
      </rPr>
      <t>1</t>
    </r>
    <r>
      <rPr>
        <sz val="10"/>
        <color rgb="FF0000FF"/>
        <rFont val="ＭＳ ゴシック"/>
        <family val="3"/>
        <charset val="128"/>
      </rPr>
      <t>元＝</t>
    </r>
    <r>
      <rPr>
        <sz val="10"/>
        <color rgb="FF0000FF"/>
        <rFont val="Arial"/>
        <family val="2"/>
      </rPr>
      <t>20.92</t>
    </r>
    <r>
      <rPr>
        <sz val="10"/>
        <color rgb="FF0000FF"/>
        <rFont val="ＭＳ ゴシック"/>
        <family val="3"/>
        <charset val="128"/>
      </rPr>
      <t>円</t>
    </r>
    <phoneticPr fontId="18"/>
  </si>
  <si>
    <t>シート変更に伴う端数調整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</si>
</sst>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;[Red]\-#,##0.0"/>
    <numFmt numFmtId="177" formatCode="yyyy&quot;/&quot;mm&quot;/&quot;dd"/>
  </numFmts>
  <fonts count="3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rgb="FF000000"/>
      <name val="Arial"/>
      <family val="2"/>
    </font>
    <font>
      <sz val="10"/>
      <color rgb="FF000000"/>
      <name val="ＭＳ ゴシック"/>
      <family val="3"/>
      <charset val="128"/>
    </font>
    <font>
      <sz val="10"/>
      <color rgb="FF000000"/>
      <name val="ＭＳ Ｐゴシック"/>
      <family val="2"/>
      <charset val="128"/>
    </font>
    <font>
      <sz val="10"/>
      <color rgb="FF0000FF"/>
      <name val="Arial"/>
      <family val="2"/>
    </font>
    <font>
      <sz val="10"/>
      <color rgb="FF0000FF"/>
      <name val="ＭＳ ゴシック"/>
      <family val="3"/>
      <charset val="128"/>
    </font>
    <font>
      <sz val="10"/>
      <color rgb="FF000000"/>
      <name val="Arial"/>
      <family val="2"/>
      <charset val="128"/>
    </font>
    <font>
      <sz val="10"/>
      <color rgb="FF0000FF"/>
      <name val="ＭＳ Ｐゴシック"/>
      <family val="2"/>
      <charset val="128"/>
    </font>
    <font>
      <sz val="10"/>
      <color rgb="FF0000FF"/>
      <name val="Arial"/>
      <family val="3"/>
    </font>
    <font>
      <sz val="10"/>
      <color rgb="FF0000FF"/>
      <name val="Arial"/>
      <family val="2"/>
      <charset val="128"/>
    </font>
    <font>
      <sz val="10"/>
      <color rgb="FF0000FF"/>
      <name val="Arial"/>
      <family val="3"/>
      <charset val="128"/>
    </font>
    <font>
      <sz val="10"/>
      <color rgb="FF0000FF"/>
      <name val="ＭＳ Ｐゴシック"/>
      <family val="3"/>
      <charset val="128"/>
    </font>
    <font>
      <sz val="10"/>
      <color rgb="FF0000FF"/>
      <name val="游ゴシック"/>
      <family val="2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/>
  </cellStyleXfs>
  <cellXfs count="44">
    <xf numFmtId="0" fontId="0" fillId="0" borderId="0" xfId="0">
      <alignment vertical="center"/>
    </xf>
    <xf numFmtId="38" fontId="0" fillId="0" borderId="0" xfId="1" applyFont="1">
      <alignment vertical="center"/>
    </xf>
    <xf numFmtId="38" fontId="0" fillId="0" borderId="0" xfId="1" applyFont="1" applyFill="1">
      <alignment vertical="center"/>
    </xf>
    <xf numFmtId="0" fontId="19" fillId="0" borderId="0" xfId="43"/>
    <xf numFmtId="177" fontId="19" fillId="0" borderId="0" xfId="43" applyNumberFormat="1"/>
    <xf numFmtId="0" fontId="20" fillId="0" borderId="0" xfId="43" applyFont="1"/>
    <xf numFmtId="0" fontId="21" fillId="0" borderId="0" xfId="43" applyFont="1"/>
    <xf numFmtId="4" fontId="19" fillId="0" borderId="0" xfId="43" applyNumberFormat="1"/>
    <xf numFmtId="0" fontId="22" fillId="0" borderId="0" xfId="43" applyFont="1"/>
    <xf numFmtId="177" fontId="22" fillId="0" borderId="0" xfId="43" applyNumberFormat="1" applyFont="1" applyAlignment="1">
      <alignment horizontal="right"/>
    </xf>
    <xf numFmtId="0" fontId="23" fillId="0" borderId="0" xfId="43" applyFont="1"/>
    <xf numFmtId="3" fontId="19" fillId="0" borderId="0" xfId="43" applyNumberFormat="1" applyAlignment="1">
      <alignment horizontal="right"/>
    </xf>
    <xf numFmtId="3" fontId="19" fillId="0" borderId="0" xfId="43" applyNumberFormat="1"/>
    <xf numFmtId="176" fontId="22" fillId="0" borderId="0" xfId="1" applyNumberFormat="1" applyFont="1" applyAlignment="1"/>
    <xf numFmtId="176" fontId="22" fillId="0" borderId="0" xfId="1" applyNumberFormat="1" applyFont="1" applyFill="1" applyAlignment="1"/>
    <xf numFmtId="0" fontId="24" fillId="0" borderId="0" xfId="43" applyFont="1"/>
    <xf numFmtId="38" fontId="19" fillId="0" borderId="0" xfId="1" applyFont="1" applyFill="1" applyAlignment="1"/>
    <xf numFmtId="38" fontId="19" fillId="0" borderId="0" xfId="1" applyFont="1" applyAlignment="1"/>
    <xf numFmtId="49" fontId="22" fillId="0" borderId="0" xfId="43" applyNumberFormat="1" applyFont="1"/>
    <xf numFmtId="0" fontId="27" fillId="0" borderId="0" xfId="43" applyFont="1"/>
    <xf numFmtId="0" fontId="28" fillId="0" borderId="0" xfId="43" applyFont="1"/>
    <xf numFmtId="3" fontId="22" fillId="0" borderId="0" xfId="43" applyNumberFormat="1" applyFont="1"/>
    <xf numFmtId="0" fontId="22" fillId="0" borderId="0" xfId="43" applyFont="1" applyAlignment="1">
      <alignment horizontal="left"/>
    </xf>
    <xf numFmtId="0" fontId="23" fillId="0" borderId="0" xfId="43" applyFont="1" applyAlignment="1">
      <alignment horizontal="left"/>
    </xf>
    <xf numFmtId="177" fontId="22" fillId="0" borderId="0" xfId="43" applyNumberFormat="1" applyFont="1" applyAlignment="1">
      <alignment horizontal="left"/>
    </xf>
    <xf numFmtId="3" fontId="27" fillId="0" borderId="0" xfId="43" applyNumberFormat="1" applyFont="1"/>
    <xf numFmtId="2" fontId="19" fillId="0" borderId="0" xfId="43" applyNumberFormat="1"/>
    <xf numFmtId="38" fontId="19" fillId="0" borderId="0" xfId="43" applyNumberFormat="1"/>
    <xf numFmtId="40" fontId="22" fillId="0" borderId="0" xfId="1" applyNumberFormat="1" applyFont="1" applyAlignment="1"/>
    <xf numFmtId="176" fontId="19" fillId="0" borderId="0" xfId="1" applyNumberFormat="1" applyFont="1" applyFill="1" applyAlignment="1"/>
    <xf numFmtId="0" fontId="22" fillId="0" borderId="0" xfId="43" applyFont="1" applyAlignment="1">
      <alignment wrapText="1"/>
    </xf>
    <xf numFmtId="0" fontId="28" fillId="0" borderId="0" xfId="43" applyFont="1" applyAlignment="1">
      <alignment wrapText="1"/>
    </xf>
    <xf numFmtId="40" fontId="19" fillId="0" borderId="0" xfId="1" applyNumberFormat="1" applyFont="1" applyFill="1" applyAlignment="1"/>
    <xf numFmtId="0" fontId="25" fillId="0" borderId="0" xfId="43" applyFont="1"/>
    <xf numFmtId="176" fontId="0" fillId="0" borderId="0" xfId="1" applyNumberFormat="1" applyFont="1" applyFill="1">
      <alignment vertical="center"/>
    </xf>
    <xf numFmtId="176" fontId="19" fillId="0" borderId="0" xfId="43" applyNumberFormat="1"/>
    <xf numFmtId="177" fontId="22" fillId="0" borderId="0" xfId="43" applyNumberFormat="1" applyFont="1" applyFill="1" applyAlignment="1">
      <alignment horizontal="right"/>
    </xf>
    <xf numFmtId="177" fontId="22" fillId="0" borderId="0" xfId="43" applyNumberFormat="1" applyFont="1" applyFill="1" applyAlignment="1">
      <alignment horizontal="left"/>
    </xf>
    <xf numFmtId="3" fontId="19" fillId="0" borderId="0" xfId="43" applyNumberFormat="1" applyFill="1"/>
    <xf numFmtId="3" fontId="22" fillId="0" borderId="0" xfId="43" applyNumberFormat="1" applyFont="1" applyFill="1"/>
    <xf numFmtId="49" fontId="22" fillId="0" borderId="0" xfId="43" applyNumberFormat="1" applyFont="1" applyFill="1"/>
    <xf numFmtId="0" fontId="22" fillId="0" borderId="0" xfId="43" applyNumberFormat="1" applyFont="1" applyFill="1"/>
    <xf numFmtId="38" fontId="19" fillId="0" borderId="0" xfId="1" applyNumberFormat="1" applyFont="1" applyFill="1" applyAlignment="1"/>
    <xf numFmtId="38" fontId="19" fillId="0" borderId="0" xfId="43" applyNumberFormat="1" applyFill="1"/>
  </cellXfs>
  <cellStyles count="44">
    <cellStyle name="20% - アクセント 1" xfId="20" builtinId="30" customBuiltin="1"/>
    <cellStyle name="20% - アクセント 2" xfId="24" builtinId="34" customBuiltin="1"/>
    <cellStyle name="20% - アクセント 3" xfId="28" builtinId="38" customBuiltin="1"/>
    <cellStyle name="20% - アクセント 4" xfId="32" builtinId="42" customBuiltin="1"/>
    <cellStyle name="20% - アクセント 5" xfId="36" builtinId="46" customBuiltin="1"/>
    <cellStyle name="20% - アクセント 6" xfId="40" builtinId="50" customBuiltin="1"/>
    <cellStyle name="40% - アクセント 1" xfId="21" builtinId="31" customBuiltin="1"/>
    <cellStyle name="40% - アクセント 2" xfId="25" builtinId="35" customBuiltin="1"/>
    <cellStyle name="40% - アクセント 3" xfId="29" builtinId="39" customBuiltin="1"/>
    <cellStyle name="40% - アクセント 4" xfId="33" builtinId="43" customBuiltin="1"/>
    <cellStyle name="40% - アクセント 5" xfId="37" builtinId="47" customBuiltin="1"/>
    <cellStyle name="40% - アクセント 6" xfId="41" builtinId="51" customBuiltin="1"/>
    <cellStyle name="60% - アクセント 1" xfId="22" builtinId="32" customBuiltin="1"/>
    <cellStyle name="60% - アクセント 2" xfId="26" builtinId="36" customBuiltin="1"/>
    <cellStyle name="60% - アクセント 3" xfId="30" builtinId="40" customBuiltin="1"/>
    <cellStyle name="60% - アクセント 4" xfId="34" builtinId="44" customBuiltin="1"/>
    <cellStyle name="60% - アクセント 5" xfId="38" builtinId="48" customBuiltin="1"/>
    <cellStyle name="60% - アクセント 6" xfId="42" builtinId="52" customBuiltin="1"/>
    <cellStyle name="アクセント 1" xfId="19" builtinId="29" customBuiltin="1"/>
    <cellStyle name="アクセント 2" xfId="23" builtinId="33" customBuiltin="1"/>
    <cellStyle name="アクセント 3" xfId="27" builtinId="37" customBuiltin="1"/>
    <cellStyle name="アクセント 4" xfId="31" builtinId="41" customBuiltin="1"/>
    <cellStyle name="アクセント 5" xfId="35" builtinId="45" customBuiltin="1"/>
    <cellStyle name="アクセント 6" xfId="39" builtinId="49" customBuiltin="1"/>
    <cellStyle name="タイトル" xfId="2" builtinId="15" customBuiltin="1"/>
    <cellStyle name="チェック セル" xfId="14" builtinId="23" customBuiltin="1"/>
    <cellStyle name="どちらでもない" xfId="9" builtinId="28" customBuiltin="1"/>
    <cellStyle name="メモ" xfId="16" builtinId="10" customBuiltin="1"/>
    <cellStyle name="リンク セル" xfId="13" builtinId="24" customBuiltin="1"/>
    <cellStyle name="悪い" xfId="8" builtinId="27" customBuiltin="1"/>
    <cellStyle name="計算" xfId="12" builtinId="22" customBuiltin="1"/>
    <cellStyle name="警告文" xfId="15" builtinId="11" customBuiltin="1"/>
    <cellStyle name="桁区切り" xfId="1" builtinId="6"/>
    <cellStyle name="見出し 1" xfId="3" builtinId="16" customBuiltin="1"/>
    <cellStyle name="見出し 2" xfId="4" builtinId="17" customBuiltin="1"/>
    <cellStyle name="見出し 3" xfId="5" builtinId="18" customBuiltin="1"/>
    <cellStyle name="見出し 4" xfId="6" builtinId="19" customBuiltin="1"/>
    <cellStyle name="集計" xfId="18" builtinId="25" customBuiltin="1"/>
    <cellStyle name="出力" xfId="11" builtinId="21" customBuiltin="1"/>
    <cellStyle name="説明文" xfId="17" builtinId="53" customBuiltin="1"/>
    <cellStyle name="入力" xfId="10" builtinId="20" customBuiltin="1"/>
    <cellStyle name="標準" xfId="0" builtinId="0"/>
    <cellStyle name="標準 2" xfId="43" xr:uid="{11B79771-BDF3-416C-8B7F-00C2ADDFEB8E}"/>
    <cellStyle name="良い" xfId="7" builtinId="26" customBuiltin="1"/>
  </cellStyles>
  <dxfs count="17">
    <dxf>
      <numFmt numFmtId="6" formatCode="#,##0;[Red]\-#,##0"/>
    </dxf>
    <dxf>
      <numFmt numFmtId="6" formatCode="#,##0;[Red]\-#,##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color rgb="FF0000FF"/>
      </font>
      <numFmt numFmtId="0" formatCode="General"/>
    </dxf>
    <dxf>
      <font>
        <strike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numFmt numFmtId="3" formatCode="#,##0"/>
    </dxf>
    <dxf>
      <numFmt numFmtId="0" formatCode="General"/>
    </dxf>
    <dxf>
      <font>
        <strike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numFmt numFmtId="176" formatCode="#,##0.0;[Red]\-#,##0.0"/>
    </dxf>
    <dxf>
      <font>
        <strike val="0"/>
        <outline val="0"/>
        <shadow val="0"/>
        <u val="none"/>
        <vertAlign val="baseline"/>
        <sz val="10"/>
        <color rgb="FF0000FF"/>
      </font>
    </dxf>
    <dxf>
      <font>
        <strike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numFmt numFmtId="177" formatCode="yyyy&quot;/&quot;mm&quot;/&quot;dd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numFmt numFmtId="177" formatCode="yyyy&quot;/&quot;mm&quot;/&quot;dd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FF"/>
      </font>
      <numFmt numFmtId="177" formatCode="yyyy&quot;/&quot;mm&quot;/&quot;dd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FF"/>
      </font>
    </dxf>
    <dxf>
      <font>
        <strike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</dxf>
    <dxf>
      <font>
        <color auto="1"/>
      </font>
      <fill>
        <patternFill>
          <bgColor theme="0"/>
        </patternFill>
      </fill>
      <border diagonalUp="1" diagonalDown="0">
        <left/>
        <right/>
        <top style="thin">
          <color auto="1"/>
        </top>
        <bottom style="thin">
          <color auto="1"/>
        </bottom>
        <diagonal style="thin">
          <color auto="1"/>
        </diagonal>
        <vertical/>
        <horizontal style="thin">
          <color auto="1"/>
        </horizontal>
      </border>
    </dxf>
  </dxfs>
  <tableStyles count="1" defaultTableStyle="TableStyleMedium2" defaultPivotStyle="PivotStyleLight16">
    <tableStyle name="シンプル" pivot="0" count="1" xr9:uid="{7E5713DF-1D60-4466-96E1-8CE2DAD3255A}">
      <tableStyleElement type="wholeTable" dxfId="16"/>
    </tableStyle>
  </tableStyles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EAC04B3-25D0-4631-B6DB-E1C6D9740709}" name="テーブル10" displayName="テーブル10" ref="A1:P224" totalsRowShown="0" headerRowCellStyle="標準 2" dataCellStyle="標準 2">
  <autoFilter ref="A1:P224" xr:uid="{FEAC04B3-25D0-4631-B6DB-E1C6D9740709}"/>
  <tableColumns count="16">
    <tableColumn id="1" xr3:uid="{B4F5A1A6-4357-4585-BA68-D9167AF59C89}" name="収支区分" dataDxfId="15" dataCellStyle="標準 2"/>
    <tableColumn id="17" xr3:uid="{F9BE8DE9-5F84-43E1-A5E5-2E37D45AAC70}" name="決済口座" dataDxfId="14" dataCellStyle="標準 2"/>
    <tableColumn id="3" xr3:uid="{4F27DB67-02BD-4026-8498-C20795105489}" name="発生日" dataDxfId="13" dataCellStyle="標準 2"/>
    <tableColumn id="7" xr3:uid="{C2A7B264-C912-4FA7-B20C-05609A239443}" name="勘定科目" dataDxfId="12" dataCellStyle="標準 2"/>
    <tableColumn id="13" xr3:uid="{54151CCE-64BA-4F10-BD2D-CAEDC8BF7B0D}" name="品目" dataDxfId="11" dataCellStyle="標準 2"/>
    <tableColumn id="8" xr3:uid="{4866DC80-50E3-46E1-9E34-27F26C3506F6}" name="税区分" dataDxfId="10" dataCellStyle="標準 2"/>
    <tableColumn id="22" xr3:uid="{F32300AD-30EB-4EA6-A600-A8929AB9C69D}" name="元金額" dataDxfId="9" dataCellStyle="桁区切り"/>
    <tableColumn id="23" xr3:uid="{44D5DBB1-84E6-4688-9CD3-F75145E4DDD6}" name="為替レート" dataDxfId="8" dataCellStyle="標準 2"/>
    <tableColumn id="9" xr3:uid="{7BEE1959-C3E0-4B34-8948-49B5AD830823}" name="金額" dataDxfId="7" dataCellStyle="標準 2">
      <calculatedColumnFormula>ROUND(テーブル10[[#This Row],[元金額]]*テーブル10[[#This Row],[為替レート]],0)</calculatedColumnFormula>
    </tableColumn>
    <tableColumn id="31" xr3:uid="{4CDDF2AA-C110-4AF6-BF4D-15B33CE74BA8}" name="メモタグ" dataDxfId="6" dataCellStyle="標準 2"/>
    <tableColumn id="29" xr3:uid="{63B2D793-EE51-4FA1-AB0F-7F542446F58D}" name="配賦ID" dataDxfId="5" dataCellStyle="標準 2"/>
    <tableColumn id="12" xr3:uid="{C28A0A2F-90E0-4DAF-9D15-5A2A284E0967}" name="備考" dataDxfId="4" dataCellStyle="標準 2">
      <calculatedColumnFormula>#REF!&amp;" {"&amp;テーブル10[[#This Row],[元金額]]&amp;"元 * "&amp;テーブル10[[#This Row],[為替レート]]&amp;"円/元, "&amp;テーブル10[[#This Row],[配賦ID]]&amp;"}"</calculatedColumnFormula>
    </tableColumn>
    <tableColumn id="26" xr3:uid="{3FD430CF-1A03-4BCA-AA97-CCAF687ED45C}" name="元残高" dataDxfId="3" dataCellStyle="桁区切り">
      <calculatedColumnFormula array="1">-SUMPRODUCT((B$2:B$224=B2)*((C$2:C$224&lt;C2)+(C$2:C$224=C2)*(ROW(G$2:G$224)&lt;=ROW(G2)))*G$2:G$224)</calculatedColumnFormula>
    </tableColumn>
    <tableColumn id="27" xr3:uid="{799AA5B3-1F61-44AC-97FD-F551A8B07237}" name="円残高" dataDxfId="2" dataCellStyle="桁区切り">
      <calculatedColumnFormula array="1">-SUMPRODUCT((B$2:B$224=B2)*((C$2:C$224&lt;C2)+(C$2:C$224=C2)*(ROW(I$2:I$224)&lt;=ROW(I2)))*I$2:I$224)</calculatedColumnFormula>
    </tableColumn>
    <tableColumn id="34" xr3:uid="{66D5AEB4-6C3F-44D9-8674-8787C3323808}" name="円残高_時価" dataDxfId="1" dataCellStyle="桁区切り">
      <calculatedColumnFormula>ROUND(テーブル10[[#This Row],[為替レート]]*テーブル10[[#This Row],[元残高]],0)</calculatedColumnFormula>
    </tableColumn>
    <tableColumn id="35" xr3:uid="{564BA2C6-39F6-45E2-8B5E-03BC7C24012F}" name="為替差損益" dataDxfId="0" dataCellStyle="標準 2">
      <calculatedColumnFormula>テーブル10[[#This Row],[円残高]]-テーブル10[[#This Row],[円残高_時価]]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C0132B1-F1BE-41E4-99B4-12C3A87C166B}" name="テーブル11" displayName="テーブル11" ref="A1:L166" totalsRowShown="0">
  <autoFilter ref="A1:L166" xr:uid="{5C0132B1-F1BE-41E4-99B4-12C3A87C166B}"/>
  <tableColumns count="12">
    <tableColumn id="1" xr3:uid="{4613E2E1-EDB3-42D5-A972-AB66C15C0566}" name="勘定科目"/>
    <tableColumn id="2" xr3:uid="{02EA880B-067D-45D3-9A92-D964C21F88E9}" name="表示名（決算書）"/>
    <tableColumn id="3" xr3:uid="{63EB00CF-8C7F-4B2F-998A-4066F7B939D6}" name="小分類"/>
    <tableColumn id="4" xr3:uid="{501E987A-7996-4096-8874-DB3A82791B56}" name="中分類"/>
    <tableColumn id="5" xr3:uid="{310DBDFB-C208-4C7B-A502-8A6F5303DE5C}" name="大分類"/>
    <tableColumn id="6" xr3:uid="{285B73A1-FFC7-4EE9-BF27-F358FFBEB405}" name="収入取引相手方勘定科目"/>
    <tableColumn id="7" xr3:uid="{230FA641-CA59-4555-96F6-A5B13D1C75EC}" name="支出取引相手方勘定科目"/>
    <tableColumn id="8" xr3:uid="{4B3350CD-CC76-487E-8426-D56844E97129}" name="税区分"/>
    <tableColumn id="9" xr3:uid="{63ACEA06-2809-47D4-9856-B526D598C80B}" name="ショートカット1"/>
    <tableColumn id="10" xr3:uid="{319D7F9A-0DED-486E-BC38-262721EFF360}" name="ショートカット2"/>
    <tableColumn id="11" xr3:uid="{259127CF-9DB5-4635-9DF3-CB4764C4841D}" name="入力候補"/>
    <tableColumn id="12" xr3:uid="{38ED8B0B-72BD-475D-AC95-B28BB2953B59}" name="補助科目優先タ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F714854-1509-403C-8772-89D6AE8B951D}">
  <we:reference id="29673e3c-d826-4f00-92ee-162334a52b1a" version="1.0.0.5" store="EXCatalog" storeType="EXCatalog"/>
  <we:alternateReferences>
    <we:reference id="WA200009404" version="1.0.0.5" store="ja-JP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DE76F-4A70-4A55-814C-F9D7C694557A}">
  <sheetPr>
    <outlinePr summaryBelow="0" summaryRight="0"/>
  </sheetPr>
  <dimension ref="A1:S224"/>
  <sheetViews>
    <sheetView tabSelected="1" topLeftCell="A136" zoomScale="85" zoomScaleNormal="85" workbookViewId="0">
      <selection activeCell="G141" sqref="G141"/>
    </sheetView>
  </sheetViews>
  <sheetFormatPr defaultColWidth="13.25" defaultRowHeight="18" customHeight="1" x14ac:dyDescent="0.25"/>
  <cols>
    <col min="1" max="1" width="9.58203125" style="3" customWidth="1"/>
    <col min="2" max="2" width="13.33203125" customWidth="1"/>
    <col min="3" max="3" width="11.5" style="3" customWidth="1"/>
    <col min="4" max="4" width="15.08203125" customWidth="1"/>
    <col min="5" max="5" width="12.33203125" style="3" customWidth="1"/>
    <col min="6" max="6" width="6.9140625" customWidth="1"/>
    <col min="7" max="7" width="10.6640625" style="3" customWidth="1"/>
    <col min="8" max="8" width="11.5" style="3" customWidth="1"/>
    <col min="9" max="9" width="11.58203125" style="3" customWidth="1"/>
    <col min="10" max="10" width="9.1640625" style="3" customWidth="1"/>
    <col min="11" max="11" width="8.4140625" style="3" customWidth="1"/>
    <col min="12" max="12" width="44.08203125" style="17" customWidth="1"/>
    <col min="13" max="13" width="10.83203125" style="35" customWidth="1"/>
    <col min="14" max="14" width="12.33203125" customWidth="1"/>
    <col min="15" max="15" width="12.4140625" customWidth="1"/>
    <col min="16" max="16" width="13.25" style="3"/>
    <col min="17" max="17" width="11.83203125" style="3" customWidth="1"/>
    <col min="18" max="16384" width="13.25" style="3"/>
  </cols>
  <sheetData>
    <row r="1" spans="1:16" ht="18" customHeight="1" x14ac:dyDescent="0.25">
      <c r="A1" s="3" t="s">
        <v>55</v>
      </c>
      <c r="B1" s="3" t="s">
        <v>50</v>
      </c>
      <c r="C1" s="4" t="s">
        <v>25</v>
      </c>
      <c r="D1" s="3" t="s">
        <v>54</v>
      </c>
      <c r="E1" s="3" t="s">
        <v>51</v>
      </c>
      <c r="F1" s="3" t="s">
        <v>53</v>
      </c>
      <c r="G1" s="5" t="s">
        <v>67</v>
      </c>
      <c r="H1" s="5" t="s">
        <v>68</v>
      </c>
      <c r="I1" s="3" t="s">
        <v>52</v>
      </c>
      <c r="J1" s="5" t="s">
        <v>402</v>
      </c>
      <c r="K1" s="15" t="s">
        <v>401</v>
      </c>
      <c r="L1" s="3" t="s">
        <v>26</v>
      </c>
      <c r="M1" s="29" t="s">
        <v>395</v>
      </c>
      <c r="N1" s="6" t="s">
        <v>396</v>
      </c>
      <c r="O1" s="3" t="s">
        <v>449</v>
      </c>
      <c r="P1" s="6" t="s">
        <v>450</v>
      </c>
    </row>
    <row r="2" spans="1:16" ht="18" customHeight="1" x14ac:dyDescent="0.5">
      <c r="A2" s="8" t="s">
        <v>49</v>
      </c>
      <c r="B2" s="8" t="s">
        <v>93</v>
      </c>
      <c r="C2" s="9">
        <v>44735</v>
      </c>
      <c r="D2" s="24" t="s">
        <v>251</v>
      </c>
      <c r="E2" s="8"/>
      <c r="F2" s="8" t="s">
        <v>1</v>
      </c>
      <c r="G2" s="13">
        <v>-9857</v>
      </c>
      <c r="H2" s="32">
        <f>200000/9857</f>
        <v>20.290149132596124</v>
      </c>
      <c r="I2" s="12">
        <f>ROUND(テーブル10[[#This Row],[元金額]]*テーブル10[[#This Row],[為替レート]],0)</f>
        <v>-200000</v>
      </c>
      <c r="J2" s="21"/>
      <c r="K2" s="18"/>
      <c r="L2" s="20" t="s">
        <v>631</v>
      </c>
      <c r="M2" s="16" cm="1">
        <f t="array" ref="M2">-SUMPRODUCT((B$2:B$224=B2)*((C$2:C$224&lt;C2)+(C$2:C$224=C2)*(ROW(G$2:G$224)&lt;=ROW(G2)))*G$2:G$224)</f>
        <v>9857</v>
      </c>
      <c r="N2" s="2" cm="1">
        <f t="array" ref="N2">-SUMPRODUCT((B$2:B$224=B2)*((C$2:C$224&lt;C2)+(C$2:C$224=C2)*(ROW(I$2:I$224)&lt;=ROW(I2)))*I$2:I$224)</f>
        <v>200000</v>
      </c>
      <c r="O2" s="1">
        <f>ROUND(テーブル10[[#This Row],[為替レート]]*テーブル10[[#This Row],[元残高]],0)</f>
        <v>200000</v>
      </c>
      <c r="P2" s="27">
        <f>テーブル10[[#This Row],[円残高]]-テーブル10[[#This Row],[円残高_時価]]</f>
        <v>0</v>
      </c>
    </row>
    <row r="3" spans="1:16" ht="18" customHeight="1" x14ac:dyDescent="0.25">
      <c r="A3" s="8" t="s">
        <v>49</v>
      </c>
      <c r="B3" s="8" t="s">
        <v>93</v>
      </c>
      <c r="C3" s="9">
        <v>44735</v>
      </c>
      <c r="D3" s="24" t="s">
        <v>103</v>
      </c>
      <c r="E3" s="8"/>
      <c r="F3" s="8" t="s">
        <v>1</v>
      </c>
      <c r="G3" s="13">
        <v>41</v>
      </c>
      <c r="H3" s="26">
        <v>20.29</v>
      </c>
      <c r="I3" s="12">
        <f>ROUND(テーブル10[[#This Row],[元金額]]*テーブル10[[#This Row],[為替レート]],0)</f>
        <v>832</v>
      </c>
      <c r="J3" s="21"/>
      <c r="K3" s="18"/>
      <c r="L3" s="8" t="s">
        <v>579</v>
      </c>
      <c r="M3" s="16" cm="1">
        <f t="array" ref="M3">-SUMPRODUCT((B$2:B$224=B3)*((C$2:C$224&lt;C3)+(C$2:C$224=C3)*(ROW(G$2:G$224)&lt;=ROW(G3)))*G$2:G$224)</f>
        <v>9816</v>
      </c>
      <c r="N3" s="2" cm="1">
        <f t="array" ref="N3">-SUMPRODUCT((B$2:B$224=B3)*((C$2:C$224&lt;C3)+(C$2:C$224=C3)*(ROW(I$2:I$224)&lt;=ROW(I3)))*I$2:I$224)</f>
        <v>199168</v>
      </c>
      <c r="O3" s="1">
        <f>ROUND(テーブル10[[#This Row],[為替レート]]*テーブル10[[#This Row],[元残高]],0)</f>
        <v>199167</v>
      </c>
      <c r="P3" s="27">
        <f>テーブル10[[#This Row],[円残高]]-テーブル10[[#This Row],[円残高_時価]]</f>
        <v>1</v>
      </c>
    </row>
    <row r="4" spans="1:16" ht="18" customHeight="1" x14ac:dyDescent="0.25">
      <c r="A4" s="8" t="s">
        <v>49</v>
      </c>
      <c r="B4" s="8" t="s">
        <v>93</v>
      </c>
      <c r="C4" s="9">
        <v>44735</v>
      </c>
      <c r="D4" s="24" t="s">
        <v>103</v>
      </c>
      <c r="E4" s="8"/>
      <c r="F4" s="8" t="s">
        <v>1</v>
      </c>
      <c r="G4" s="13">
        <v>86</v>
      </c>
      <c r="H4" s="26">
        <v>20.29</v>
      </c>
      <c r="I4" s="12">
        <f>ROUND(テーブル10[[#This Row],[元金額]]*テーブル10[[#This Row],[為替レート]],0)</f>
        <v>1745</v>
      </c>
      <c r="J4" s="21"/>
      <c r="K4" s="18"/>
      <c r="L4" s="8" t="s">
        <v>579</v>
      </c>
      <c r="M4" s="16" cm="1">
        <f t="array" ref="M4">-SUMPRODUCT((B$2:B$224=B4)*((C$2:C$224&lt;C4)+(C$2:C$224=C4)*(ROW(G$2:G$224)&lt;=ROW(G4)))*G$2:G$224)</f>
        <v>9730</v>
      </c>
      <c r="N4" s="2" cm="1">
        <f t="array" ref="N4">-SUMPRODUCT((B$2:B$224=B4)*((C$2:C$224&lt;C4)+(C$2:C$224=C4)*(ROW(I$2:I$224)&lt;=ROW(I4)))*I$2:I$224)</f>
        <v>197423</v>
      </c>
      <c r="O4" s="1">
        <f>ROUND(テーブル10[[#This Row],[為替レート]]*テーブル10[[#This Row],[元残高]],0)</f>
        <v>197422</v>
      </c>
      <c r="P4" s="27">
        <f>テーブル10[[#This Row],[円残高]]-テーブル10[[#This Row],[円残高_時価]]</f>
        <v>1</v>
      </c>
    </row>
    <row r="5" spans="1:16" ht="18" customHeight="1" x14ac:dyDescent="0.25">
      <c r="A5" s="8" t="s">
        <v>49</v>
      </c>
      <c r="B5" s="8" t="s">
        <v>93</v>
      </c>
      <c r="C5" s="9">
        <v>44735</v>
      </c>
      <c r="D5" s="24" t="s">
        <v>103</v>
      </c>
      <c r="E5" s="8"/>
      <c r="F5" s="8" t="s">
        <v>1</v>
      </c>
      <c r="G5" s="13">
        <v>109</v>
      </c>
      <c r="H5" s="26">
        <v>20.29</v>
      </c>
      <c r="I5" s="12">
        <f>ROUND(テーブル10[[#This Row],[元金額]]*テーブル10[[#This Row],[為替レート]],0)</f>
        <v>2212</v>
      </c>
      <c r="J5" s="21"/>
      <c r="K5" s="18"/>
      <c r="L5" s="8" t="s">
        <v>579</v>
      </c>
      <c r="M5" s="16" cm="1">
        <f t="array" ref="M5">-SUMPRODUCT((B$2:B$224=B5)*((C$2:C$224&lt;C5)+(C$2:C$224=C5)*(ROW(G$2:G$224)&lt;=ROW(G5)))*G$2:G$224)</f>
        <v>9621</v>
      </c>
      <c r="N5" s="2" cm="1">
        <f t="array" ref="N5">-SUMPRODUCT((B$2:B$224=B5)*((C$2:C$224&lt;C5)+(C$2:C$224=C5)*(ROW(I$2:I$224)&lt;=ROW(I5)))*I$2:I$224)</f>
        <v>195211</v>
      </c>
      <c r="O5" s="1">
        <f>ROUND(テーブル10[[#This Row],[為替レート]]*テーブル10[[#This Row],[元残高]],0)</f>
        <v>195210</v>
      </c>
      <c r="P5" s="27">
        <f>テーブル10[[#This Row],[円残高]]-テーブル10[[#This Row],[円残高_時価]]</f>
        <v>1</v>
      </c>
    </row>
    <row r="6" spans="1:16" ht="18" customHeight="1" x14ac:dyDescent="0.25">
      <c r="A6" s="8" t="s">
        <v>49</v>
      </c>
      <c r="B6" s="8" t="s">
        <v>93</v>
      </c>
      <c r="C6" s="9">
        <v>44735</v>
      </c>
      <c r="D6" s="24" t="s">
        <v>103</v>
      </c>
      <c r="E6" s="8"/>
      <c r="F6" s="8" t="s">
        <v>1</v>
      </c>
      <c r="G6" s="13">
        <v>67</v>
      </c>
      <c r="H6" s="26">
        <v>20.29</v>
      </c>
      <c r="I6" s="12">
        <f>ROUND(テーブル10[[#This Row],[元金額]]*テーブル10[[#This Row],[為替レート]],0)</f>
        <v>1359</v>
      </c>
      <c r="J6" s="21"/>
      <c r="K6" s="18"/>
      <c r="L6" s="8" t="s">
        <v>579</v>
      </c>
      <c r="M6" s="16" cm="1">
        <f t="array" ref="M6">-SUMPRODUCT((B$2:B$224=B6)*((C$2:C$224&lt;C6)+(C$2:C$224=C6)*(ROW(G$2:G$224)&lt;=ROW(G6)))*G$2:G$224)</f>
        <v>9554</v>
      </c>
      <c r="N6" s="2" cm="1">
        <f t="array" ref="N6">-SUMPRODUCT((B$2:B$224=B6)*((C$2:C$224&lt;C6)+(C$2:C$224=C6)*(ROW(I$2:I$224)&lt;=ROW(I6)))*I$2:I$224)</f>
        <v>193852</v>
      </c>
      <c r="O6" s="1">
        <f>ROUND(テーブル10[[#This Row],[為替レート]]*テーブル10[[#This Row],[元残高]],0)</f>
        <v>193851</v>
      </c>
      <c r="P6" s="27">
        <f>テーブル10[[#This Row],[円残高]]-テーブル10[[#This Row],[円残高_時価]]</f>
        <v>1</v>
      </c>
    </row>
    <row r="7" spans="1:16" ht="18" customHeight="1" x14ac:dyDescent="0.25">
      <c r="A7" s="8" t="s">
        <v>49</v>
      </c>
      <c r="B7" s="8" t="s">
        <v>93</v>
      </c>
      <c r="C7" s="9">
        <v>44749</v>
      </c>
      <c r="D7" s="24" t="s">
        <v>103</v>
      </c>
      <c r="E7" s="8"/>
      <c r="F7" s="8" t="s">
        <v>1</v>
      </c>
      <c r="G7" s="13">
        <v>875</v>
      </c>
      <c r="H7" s="26">
        <v>20.61</v>
      </c>
      <c r="I7" s="12">
        <f>ROUND(テーブル10[[#This Row],[元金額]]*テーブル10[[#This Row],[為替レート]],0)</f>
        <v>18034</v>
      </c>
      <c r="J7" s="21" t="s">
        <v>403</v>
      </c>
      <c r="K7" s="18" t="s">
        <v>591</v>
      </c>
      <c r="L7" s="8" t="s">
        <v>580</v>
      </c>
      <c r="M7" s="16" cm="1">
        <f t="array" ref="M7">-SUMPRODUCT((B$2:B$224=B7)*((C$2:C$224&lt;C7)+(C$2:C$224=C7)*(ROW(G$2:G$224)&lt;=ROW(G7)))*G$2:G$224)</f>
        <v>8679</v>
      </c>
      <c r="N7" s="2" cm="1">
        <f t="array" ref="N7">-SUMPRODUCT((B$2:B$224=B7)*((C$2:C$224&lt;C7)+(C$2:C$224=C7)*(ROW(I$2:I$224)&lt;=ROW(I7)))*I$2:I$224)</f>
        <v>175818</v>
      </c>
      <c r="O7" s="1">
        <f>ROUND(テーブル10[[#This Row],[為替レート]]*テーブル10[[#This Row],[元残高]],0)</f>
        <v>178874</v>
      </c>
      <c r="P7" s="27">
        <f>テーブル10[[#This Row],[円残高]]-テーブル10[[#This Row],[円残高_時価]]</f>
        <v>-3056</v>
      </c>
    </row>
    <row r="8" spans="1:16" ht="18" customHeight="1" x14ac:dyDescent="0.25">
      <c r="A8" s="8" t="s">
        <v>49</v>
      </c>
      <c r="B8" s="8" t="s">
        <v>93</v>
      </c>
      <c r="C8" s="9">
        <v>44817</v>
      </c>
      <c r="D8" s="24" t="s">
        <v>103</v>
      </c>
      <c r="E8" s="8"/>
      <c r="F8" s="8" t="s">
        <v>1</v>
      </c>
      <c r="G8" s="13">
        <v>26</v>
      </c>
      <c r="H8" s="26">
        <v>20.7</v>
      </c>
      <c r="I8" s="12">
        <f>ROUND(テーブル10[[#This Row],[元金額]]*テーブル10[[#This Row],[為替レート]],0)</f>
        <v>538</v>
      </c>
      <c r="J8" s="21"/>
      <c r="K8" s="18"/>
      <c r="L8" s="8" t="s">
        <v>581</v>
      </c>
      <c r="M8" s="16" cm="1">
        <f t="array" ref="M8">-SUMPRODUCT((B$2:B$224=B8)*((C$2:C$224&lt;C8)+(C$2:C$224=C8)*(ROW(G$2:G$224)&lt;=ROW(G8)))*G$2:G$224)</f>
        <v>8653</v>
      </c>
      <c r="N8" s="2" cm="1">
        <f t="array" ref="N8">-SUMPRODUCT((B$2:B$224=B8)*((C$2:C$224&lt;C8)+(C$2:C$224=C8)*(ROW(I$2:I$224)&lt;=ROW(I8)))*I$2:I$224)</f>
        <v>175280</v>
      </c>
      <c r="O8" s="1">
        <f>ROUND(テーブル10[[#This Row],[為替レート]]*テーブル10[[#This Row],[元残高]],0)</f>
        <v>179117</v>
      </c>
      <c r="P8" s="27">
        <f>テーブル10[[#This Row],[円残高]]-テーブル10[[#This Row],[円残高_時価]]</f>
        <v>-3837</v>
      </c>
    </row>
    <row r="9" spans="1:16" ht="18" customHeight="1" x14ac:dyDescent="0.25">
      <c r="A9" s="8" t="s">
        <v>49</v>
      </c>
      <c r="B9" s="8" t="s">
        <v>93</v>
      </c>
      <c r="C9" s="9">
        <v>44817</v>
      </c>
      <c r="D9" s="24" t="s">
        <v>103</v>
      </c>
      <c r="E9" s="8"/>
      <c r="F9" s="8" t="s">
        <v>1</v>
      </c>
      <c r="G9" s="13">
        <v>11</v>
      </c>
      <c r="H9" s="26">
        <v>20.7</v>
      </c>
      <c r="I9" s="12">
        <f>ROUND(テーブル10[[#This Row],[元金額]]*テーブル10[[#This Row],[為替レート]],0)</f>
        <v>228</v>
      </c>
      <c r="J9" s="21"/>
      <c r="K9" s="18"/>
      <c r="L9" s="8" t="s">
        <v>582</v>
      </c>
      <c r="M9" s="16" cm="1">
        <f t="array" ref="M9">-SUMPRODUCT((B$2:B$224=B9)*((C$2:C$224&lt;C9)+(C$2:C$224=C9)*(ROW(G$2:G$224)&lt;=ROW(G9)))*G$2:G$224)</f>
        <v>8642</v>
      </c>
      <c r="N9" s="2" cm="1">
        <f t="array" ref="N9">-SUMPRODUCT((B$2:B$224=B9)*((C$2:C$224&lt;C9)+(C$2:C$224=C9)*(ROW(I$2:I$224)&lt;=ROW(I9)))*I$2:I$224)</f>
        <v>175052</v>
      </c>
      <c r="O9" s="1">
        <f>ROUND(テーブル10[[#This Row],[為替レート]]*テーブル10[[#This Row],[元残高]],0)</f>
        <v>178889</v>
      </c>
      <c r="P9" s="27">
        <f>テーブル10[[#This Row],[円残高]]-テーブル10[[#This Row],[円残高_時価]]</f>
        <v>-3837</v>
      </c>
    </row>
    <row r="10" spans="1:16" ht="18" customHeight="1" x14ac:dyDescent="0.25">
      <c r="A10" s="8" t="s">
        <v>49</v>
      </c>
      <c r="B10" s="8" t="s">
        <v>93</v>
      </c>
      <c r="C10" s="9">
        <v>44817</v>
      </c>
      <c r="D10" s="24" t="s">
        <v>103</v>
      </c>
      <c r="E10" s="8"/>
      <c r="F10" s="8" t="s">
        <v>1</v>
      </c>
      <c r="G10" s="13">
        <v>9</v>
      </c>
      <c r="H10" s="26">
        <v>20.7</v>
      </c>
      <c r="I10" s="12">
        <f>ROUND(テーブル10[[#This Row],[元金額]]*テーブル10[[#This Row],[為替レート]],0)</f>
        <v>186</v>
      </c>
      <c r="J10" s="21"/>
      <c r="K10" s="18"/>
      <c r="L10" s="8" t="s">
        <v>582</v>
      </c>
      <c r="M10" s="16" cm="1">
        <f t="array" ref="M10">-SUMPRODUCT((B$2:B$224=B10)*((C$2:C$224&lt;C10)+(C$2:C$224=C10)*(ROW(G$2:G$224)&lt;=ROW(G10)))*G$2:G$224)</f>
        <v>8633</v>
      </c>
      <c r="N10" s="2" cm="1">
        <f t="array" ref="N10">-SUMPRODUCT((B$2:B$224=B10)*((C$2:C$224&lt;C10)+(C$2:C$224=C10)*(ROW(I$2:I$224)&lt;=ROW(I10)))*I$2:I$224)</f>
        <v>174866</v>
      </c>
      <c r="O10" s="1">
        <f>ROUND(テーブル10[[#This Row],[為替レート]]*テーブル10[[#This Row],[元残高]],0)</f>
        <v>178703</v>
      </c>
      <c r="P10" s="27">
        <f>テーブル10[[#This Row],[円残高]]-テーブル10[[#This Row],[円残高_時価]]</f>
        <v>-3837</v>
      </c>
    </row>
    <row r="11" spans="1:16" ht="18" customHeight="1" x14ac:dyDescent="0.25">
      <c r="A11" s="8" t="s">
        <v>49</v>
      </c>
      <c r="B11" s="8" t="s">
        <v>93</v>
      </c>
      <c r="C11" s="9">
        <v>44817</v>
      </c>
      <c r="D11" s="24" t="s">
        <v>103</v>
      </c>
      <c r="E11" s="8"/>
      <c r="F11" s="8" t="s">
        <v>1</v>
      </c>
      <c r="G11" s="13">
        <v>25</v>
      </c>
      <c r="H11" s="26">
        <v>20.7</v>
      </c>
      <c r="I11" s="12">
        <f>ROUND(テーブル10[[#This Row],[元金額]]*テーブル10[[#This Row],[為替レート]],0)</f>
        <v>518</v>
      </c>
      <c r="J11" s="21"/>
      <c r="K11" s="18"/>
      <c r="L11" s="8" t="s">
        <v>582</v>
      </c>
      <c r="M11" s="16" cm="1">
        <f t="array" ref="M11">-SUMPRODUCT((B$2:B$224=B11)*((C$2:C$224&lt;C11)+(C$2:C$224=C11)*(ROW(G$2:G$224)&lt;=ROW(G11)))*G$2:G$224)</f>
        <v>8608</v>
      </c>
      <c r="N11" s="2" cm="1">
        <f t="array" ref="N11">-SUMPRODUCT((B$2:B$224=B11)*((C$2:C$224&lt;C11)+(C$2:C$224=C11)*(ROW(I$2:I$224)&lt;=ROW(I11)))*I$2:I$224)</f>
        <v>174348</v>
      </c>
      <c r="O11" s="1">
        <f>ROUND(テーブル10[[#This Row],[為替レート]]*テーブル10[[#This Row],[元残高]],0)</f>
        <v>178186</v>
      </c>
      <c r="P11" s="27">
        <f>テーブル10[[#This Row],[円残高]]-テーブル10[[#This Row],[円残高_時価]]</f>
        <v>-3838</v>
      </c>
    </row>
    <row r="12" spans="1:16" ht="18" customHeight="1" x14ac:dyDescent="0.25">
      <c r="A12" s="8" t="s">
        <v>49</v>
      </c>
      <c r="B12" s="8" t="s">
        <v>93</v>
      </c>
      <c r="C12" s="9">
        <v>44817</v>
      </c>
      <c r="D12" s="24" t="s">
        <v>103</v>
      </c>
      <c r="E12" s="8"/>
      <c r="F12" s="8" t="s">
        <v>1</v>
      </c>
      <c r="G12" s="13">
        <v>16</v>
      </c>
      <c r="H12" s="26">
        <v>20.7</v>
      </c>
      <c r="I12" s="12">
        <f>ROUND(テーブル10[[#This Row],[元金額]]*テーブル10[[#This Row],[為替レート]],0)</f>
        <v>331</v>
      </c>
      <c r="J12" s="21"/>
      <c r="K12" s="18"/>
      <c r="L12" s="8" t="s">
        <v>582</v>
      </c>
      <c r="M12" s="16" cm="1">
        <f t="array" ref="M12">-SUMPRODUCT((B$2:B$224=B12)*((C$2:C$224&lt;C12)+(C$2:C$224=C12)*(ROW(G$2:G$224)&lt;=ROW(G12)))*G$2:G$224)</f>
        <v>8592</v>
      </c>
      <c r="N12" s="2" cm="1">
        <f t="array" ref="N12">-SUMPRODUCT((B$2:B$224=B12)*((C$2:C$224&lt;C12)+(C$2:C$224=C12)*(ROW(I$2:I$224)&lt;=ROW(I12)))*I$2:I$224)</f>
        <v>174017</v>
      </c>
      <c r="O12" s="1">
        <f>ROUND(テーブル10[[#This Row],[為替レート]]*テーブル10[[#This Row],[元残高]],0)</f>
        <v>177854</v>
      </c>
      <c r="P12" s="27">
        <f>テーブル10[[#This Row],[円残高]]-テーブル10[[#This Row],[円残高_時価]]</f>
        <v>-3837</v>
      </c>
    </row>
    <row r="13" spans="1:16" ht="18" customHeight="1" x14ac:dyDescent="0.25">
      <c r="A13" s="8" t="s">
        <v>49</v>
      </c>
      <c r="B13" s="8" t="s">
        <v>93</v>
      </c>
      <c r="C13" s="9">
        <v>44817</v>
      </c>
      <c r="D13" s="24" t="s">
        <v>103</v>
      </c>
      <c r="E13" s="8"/>
      <c r="F13" s="8" t="s">
        <v>1</v>
      </c>
      <c r="G13" s="13">
        <v>15</v>
      </c>
      <c r="H13" s="26">
        <v>20.7</v>
      </c>
      <c r="I13" s="12">
        <f>ROUND(テーブル10[[#This Row],[元金額]]*テーブル10[[#This Row],[為替レート]],0)</f>
        <v>311</v>
      </c>
      <c r="J13" s="21"/>
      <c r="K13" s="18"/>
      <c r="L13" s="8" t="s">
        <v>582</v>
      </c>
      <c r="M13" s="16" cm="1">
        <f t="array" ref="M13">-SUMPRODUCT((B$2:B$224=B13)*((C$2:C$224&lt;C13)+(C$2:C$224=C13)*(ROW(G$2:G$224)&lt;=ROW(G13)))*G$2:G$224)</f>
        <v>8577</v>
      </c>
      <c r="N13" s="2" cm="1">
        <f t="array" ref="N13">-SUMPRODUCT((B$2:B$224=B13)*((C$2:C$224&lt;C13)+(C$2:C$224=C13)*(ROW(I$2:I$224)&lt;=ROW(I13)))*I$2:I$224)</f>
        <v>173706</v>
      </c>
      <c r="O13" s="1">
        <f>ROUND(テーブル10[[#This Row],[為替レート]]*テーブル10[[#This Row],[元残高]],0)</f>
        <v>177544</v>
      </c>
      <c r="P13" s="27">
        <f>テーブル10[[#This Row],[円残高]]-テーブル10[[#This Row],[円残高_時価]]</f>
        <v>-3838</v>
      </c>
    </row>
    <row r="14" spans="1:16" ht="18" customHeight="1" x14ac:dyDescent="0.25">
      <c r="A14" s="8" t="s">
        <v>49</v>
      </c>
      <c r="B14" s="8" t="s">
        <v>93</v>
      </c>
      <c r="C14" s="9">
        <v>44817</v>
      </c>
      <c r="D14" s="24" t="s">
        <v>103</v>
      </c>
      <c r="E14" s="8"/>
      <c r="F14" s="8" t="s">
        <v>1</v>
      </c>
      <c r="G14" s="13">
        <v>16</v>
      </c>
      <c r="H14" s="26">
        <v>20.7</v>
      </c>
      <c r="I14" s="12">
        <f>ROUND(テーブル10[[#This Row],[元金額]]*テーブル10[[#This Row],[為替レート]],0)</f>
        <v>331</v>
      </c>
      <c r="J14" s="21"/>
      <c r="K14" s="18"/>
      <c r="L14" s="8" t="s">
        <v>582</v>
      </c>
      <c r="M14" s="16" cm="1">
        <f t="array" ref="M14">-SUMPRODUCT((B$2:B$224=B14)*((C$2:C$224&lt;C14)+(C$2:C$224=C14)*(ROW(G$2:G$224)&lt;=ROW(G14)))*G$2:G$224)</f>
        <v>8561</v>
      </c>
      <c r="N14" s="2" cm="1">
        <f t="array" ref="N14">-SUMPRODUCT((B$2:B$224=B14)*((C$2:C$224&lt;C14)+(C$2:C$224=C14)*(ROW(I$2:I$224)&lt;=ROW(I14)))*I$2:I$224)</f>
        <v>173375</v>
      </c>
      <c r="O14" s="1">
        <f>ROUND(テーブル10[[#This Row],[為替レート]]*テーブル10[[#This Row],[元残高]],0)</f>
        <v>177213</v>
      </c>
      <c r="P14" s="27">
        <f>テーブル10[[#This Row],[円残高]]-テーブル10[[#This Row],[円残高_時価]]</f>
        <v>-3838</v>
      </c>
    </row>
    <row r="15" spans="1:16" ht="18" customHeight="1" x14ac:dyDescent="0.25">
      <c r="A15" s="8" t="s">
        <v>49</v>
      </c>
      <c r="B15" s="8" t="s">
        <v>93</v>
      </c>
      <c r="C15" s="9">
        <v>44818</v>
      </c>
      <c r="D15" s="24" t="s">
        <v>103</v>
      </c>
      <c r="E15" s="8"/>
      <c r="F15" s="8" t="s">
        <v>1</v>
      </c>
      <c r="G15" s="13">
        <v>23</v>
      </c>
      <c r="H15" s="26">
        <v>20.7</v>
      </c>
      <c r="I15" s="12">
        <f>ROUND(テーブル10[[#This Row],[元金額]]*テーブル10[[#This Row],[為替レート]],0)</f>
        <v>476</v>
      </c>
      <c r="J15" s="21"/>
      <c r="K15" s="18"/>
      <c r="L15" s="8" t="s">
        <v>582</v>
      </c>
      <c r="M15" s="16" cm="1">
        <f t="array" ref="M15">-SUMPRODUCT((B$2:B$224=B15)*((C$2:C$224&lt;C15)+(C$2:C$224=C15)*(ROW(G$2:G$224)&lt;=ROW(G15)))*G$2:G$224)</f>
        <v>8538</v>
      </c>
      <c r="N15" s="2" cm="1">
        <f t="array" ref="N15">-SUMPRODUCT((B$2:B$224=B15)*((C$2:C$224&lt;C15)+(C$2:C$224=C15)*(ROW(I$2:I$224)&lt;=ROW(I15)))*I$2:I$224)</f>
        <v>172899</v>
      </c>
      <c r="O15" s="1">
        <f>ROUND(テーブル10[[#This Row],[為替レート]]*テーブル10[[#This Row],[元残高]],0)</f>
        <v>176737</v>
      </c>
      <c r="P15" s="27">
        <f>テーブル10[[#This Row],[円残高]]-テーブル10[[#This Row],[円残高_時価]]</f>
        <v>-3838</v>
      </c>
    </row>
    <row r="16" spans="1:16" ht="18" customHeight="1" x14ac:dyDescent="0.25">
      <c r="A16" s="8" t="s">
        <v>49</v>
      </c>
      <c r="B16" s="8" t="s">
        <v>93</v>
      </c>
      <c r="C16" s="9">
        <v>44818</v>
      </c>
      <c r="D16" s="24" t="s">
        <v>103</v>
      </c>
      <c r="E16" s="8"/>
      <c r="F16" s="8" t="s">
        <v>1</v>
      </c>
      <c r="G16" s="13">
        <v>40</v>
      </c>
      <c r="H16" s="26">
        <v>20.7</v>
      </c>
      <c r="I16" s="12">
        <f>ROUND(テーブル10[[#This Row],[元金額]]*テーブル10[[#This Row],[為替レート]],0)</f>
        <v>828</v>
      </c>
      <c r="J16" s="21"/>
      <c r="K16" s="18"/>
      <c r="L16" s="8" t="s">
        <v>583</v>
      </c>
      <c r="M16" s="16" cm="1">
        <f t="array" ref="M16">-SUMPRODUCT((B$2:B$224=B16)*((C$2:C$224&lt;C16)+(C$2:C$224=C16)*(ROW(G$2:G$224)&lt;=ROW(G16)))*G$2:G$224)</f>
        <v>8498</v>
      </c>
      <c r="N16" s="2" cm="1">
        <f t="array" ref="N16">-SUMPRODUCT((B$2:B$224=B16)*((C$2:C$224&lt;C16)+(C$2:C$224=C16)*(ROW(I$2:I$224)&lt;=ROW(I16)))*I$2:I$224)</f>
        <v>172071</v>
      </c>
      <c r="O16" s="1">
        <f>ROUND(テーブル10[[#This Row],[為替レート]]*テーブル10[[#This Row],[元残高]],0)</f>
        <v>175909</v>
      </c>
      <c r="P16" s="27">
        <f>テーブル10[[#This Row],[円残高]]-テーブル10[[#This Row],[円残高_時価]]</f>
        <v>-3838</v>
      </c>
    </row>
    <row r="17" spans="1:16" ht="18" customHeight="1" x14ac:dyDescent="0.25">
      <c r="A17" s="8" t="s">
        <v>49</v>
      </c>
      <c r="B17" s="8" t="s">
        <v>93</v>
      </c>
      <c r="C17" s="9">
        <v>44832</v>
      </c>
      <c r="D17" s="24" t="s">
        <v>103</v>
      </c>
      <c r="E17" s="8"/>
      <c r="F17" s="8" t="s">
        <v>1</v>
      </c>
      <c r="G17" s="13">
        <v>515</v>
      </c>
      <c r="H17" s="26">
        <v>20.7</v>
      </c>
      <c r="I17" s="12">
        <f>ROUND(テーブル10[[#This Row],[元金額]]*テーブル10[[#This Row],[為替レート]],0)</f>
        <v>10661</v>
      </c>
      <c r="J17" s="21" t="s">
        <v>403</v>
      </c>
      <c r="K17" s="18" t="s">
        <v>590</v>
      </c>
      <c r="L17" s="8" t="s">
        <v>584</v>
      </c>
      <c r="M17" s="16" cm="1">
        <f t="array" ref="M17">-SUMPRODUCT((B$2:B$224=B17)*((C$2:C$224&lt;C17)+(C$2:C$224=C17)*(ROW(G$2:G$224)&lt;=ROW(G17)))*G$2:G$224)</f>
        <v>7983</v>
      </c>
      <c r="N17" s="2" cm="1">
        <f t="array" ref="N17">-SUMPRODUCT((B$2:B$224=B17)*((C$2:C$224&lt;C17)+(C$2:C$224=C17)*(ROW(I$2:I$224)&lt;=ROW(I17)))*I$2:I$224)</f>
        <v>161410</v>
      </c>
      <c r="O17" s="1">
        <f>ROUND(テーブル10[[#This Row],[為替レート]]*テーブル10[[#This Row],[元残高]],0)</f>
        <v>165248</v>
      </c>
      <c r="P17" s="27">
        <f>テーブル10[[#This Row],[円残高]]-テーブル10[[#This Row],[円残高_時価]]</f>
        <v>-3838</v>
      </c>
    </row>
    <row r="18" spans="1:16" ht="18" customHeight="1" x14ac:dyDescent="0.25">
      <c r="A18" s="8" t="s">
        <v>49</v>
      </c>
      <c r="B18" s="8" t="s">
        <v>93</v>
      </c>
      <c r="C18" s="9">
        <v>44834</v>
      </c>
      <c r="D18" s="24" t="s">
        <v>103</v>
      </c>
      <c r="E18" s="8"/>
      <c r="F18" s="8" t="s">
        <v>1</v>
      </c>
      <c r="G18" s="13">
        <v>37</v>
      </c>
      <c r="H18" s="26">
        <v>20.7</v>
      </c>
      <c r="I18" s="12">
        <f>ROUND(テーブル10[[#This Row],[元金額]]*テーブル10[[#This Row],[為替レート]],0)</f>
        <v>766</v>
      </c>
      <c r="J18" s="21"/>
      <c r="K18" s="18"/>
      <c r="L18" s="8" t="s">
        <v>585</v>
      </c>
      <c r="M18" s="16" cm="1">
        <f t="array" ref="M18">-SUMPRODUCT((B$2:B$224=B18)*((C$2:C$224&lt;C18)+(C$2:C$224=C18)*(ROW(G$2:G$224)&lt;=ROW(G18)))*G$2:G$224)</f>
        <v>7946</v>
      </c>
      <c r="N18" s="2" cm="1">
        <f t="array" ref="N18">-SUMPRODUCT((B$2:B$224=B18)*((C$2:C$224&lt;C18)+(C$2:C$224=C18)*(ROW(I$2:I$224)&lt;=ROW(I18)))*I$2:I$224)</f>
        <v>160644</v>
      </c>
      <c r="O18" s="1">
        <f>ROUND(テーブル10[[#This Row],[為替レート]]*テーブル10[[#This Row],[元残高]],0)</f>
        <v>164482</v>
      </c>
      <c r="P18" s="27">
        <f>テーブル10[[#This Row],[円残高]]-テーブル10[[#This Row],[円残高_時価]]</f>
        <v>-3838</v>
      </c>
    </row>
    <row r="19" spans="1:16" ht="18" customHeight="1" x14ac:dyDescent="0.25">
      <c r="A19" s="8" t="s">
        <v>49</v>
      </c>
      <c r="B19" s="8" t="s">
        <v>93</v>
      </c>
      <c r="C19" s="9">
        <v>44834</v>
      </c>
      <c r="D19" s="24" t="s">
        <v>103</v>
      </c>
      <c r="E19" s="8"/>
      <c r="F19" s="8" t="s">
        <v>1</v>
      </c>
      <c r="G19" s="13">
        <v>72</v>
      </c>
      <c r="H19" s="26">
        <v>20.7</v>
      </c>
      <c r="I19" s="12">
        <f>ROUND(テーブル10[[#This Row],[元金額]]*テーブル10[[#This Row],[為替レート]],0)</f>
        <v>1490</v>
      </c>
      <c r="J19" s="21"/>
      <c r="K19" s="18"/>
      <c r="L19" s="8" t="s">
        <v>585</v>
      </c>
      <c r="M19" s="16" cm="1">
        <f t="array" ref="M19">-SUMPRODUCT((B$2:B$224=B19)*((C$2:C$224&lt;C19)+(C$2:C$224=C19)*(ROW(G$2:G$224)&lt;=ROW(G19)))*G$2:G$224)</f>
        <v>7874</v>
      </c>
      <c r="N19" s="2" cm="1">
        <f t="array" ref="N19">-SUMPRODUCT((B$2:B$224=B19)*((C$2:C$224&lt;C19)+(C$2:C$224=C19)*(ROW(I$2:I$224)&lt;=ROW(I19)))*I$2:I$224)</f>
        <v>159154</v>
      </c>
      <c r="O19" s="1">
        <f>ROUND(テーブル10[[#This Row],[為替レート]]*テーブル10[[#This Row],[元残高]],0)</f>
        <v>162992</v>
      </c>
      <c r="P19" s="27">
        <f>テーブル10[[#This Row],[円残高]]-テーブル10[[#This Row],[円残高_時価]]</f>
        <v>-3838</v>
      </c>
    </row>
    <row r="20" spans="1:16" ht="18" customHeight="1" x14ac:dyDescent="0.25">
      <c r="A20" s="8" t="s">
        <v>49</v>
      </c>
      <c r="B20" s="8" t="s">
        <v>93</v>
      </c>
      <c r="C20" s="9">
        <v>44834</v>
      </c>
      <c r="D20" s="24" t="s">
        <v>103</v>
      </c>
      <c r="E20" s="8"/>
      <c r="F20" s="8" t="s">
        <v>1</v>
      </c>
      <c r="G20" s="13">
        <v>25</v>
      </c>
      <c r="H20" s="26">
        <v>20.7</v>
      </c>
      <c r="I20" s="12">
        <f>ROUND(テーブル10[[#This Row],[元金額]]*テーブル10[[#This Row],[為替レート]],0)</f>
        <v>518</v>
      </c>
      <c r="J20" s="21"/>
      <c r="K20" s="18"/>
      <c r="L20" s="8" t="s">
        <v>585</v>
      </c>
      <c r="M20" s="16" cm="1">
        <f t="array" ref="M20">-SUMPRODUCT((B$2:B$224=B20)*((C$2:C$224&lt;C20)+(C$2:C$224=C20)*(ROW(G$2:G$224)&lt;=ROW(G20)))*G$2:G$224)</f>
        <v>7849</v>
      </c>
      <c r="N20" s="2" cm="1">
        <f t="array" ref="N20">-SUMPRODUCT((B$2:B$224=B20)*((C$2:C$224&lt;C20)+(C$2:C$224=C20)*(ROW(I$2:I$224)&lt;=ROW(I20)))*I$2:I$224)</f>
        <v>158636</v>
      </c>
      <c r="O20" s="1">
        <f>ROUND(テーブル10[[#This Row],[為替レート]]*テーブル10[[#This Row],[元残高]],0)</f>
        <v>162474</v>
      </c>
      <c r="P20" s="27">
        <f>テーブル10[[#This Row],[円残高]]-テーブル10[[#This Row],[円残高_時価]]</f>
        <v>-3838</v>
      </c>
    </row>
    <row r="21" spans="1:16" ht="18" customHeight="1" x14ac:dyDescent="0.25">
      <c r="A21" s="8" t="s">
        <v>49</v>
      </c>
      <c r="B21" s="8" t="s">
        <v>93</v>
      </c>
      <c r="C21" s="9">
        <v>44834</v>
      </c>
      <c r="D21" s="24" t="s">
        <v>103</v>
      </c>
      <c r="E21" s="8"/>
      <c r="F21" s="8" t="s">
        <v>1</v>
      </c>
      <c r="G21" s="13">
        <v>52</v>
      </c>
      <c r="H21" s="26">
        <v>20.7</v>
      </c>
      <c r="I21" s="12">
        <f>ROUND(テーブル10[[#This Row],[元金額]]*テーブル10[[#This Row],[為替レート]],0)</f>
        <v>1076</v>
      </c>
      <c r="J21" s="21"/>
      <c r="K21" s="18"/>
      <c r="L21" s="8" t="s">
        <v>585</v>
      </c>
      <c r="M21" s="16" cm="1">
        <f t="array" ref="M21">-SUMPRODUCT((B$2:B$224=B21)*((C$2:C$224&lt;C21)+(C$2:C$224=C21)*(ROW(G$2:G$224)&lt;=ROW(G21)))*G$2:G$224)</f>
        <v>7797</v>
      </c>
      <c r="N21" s="2" cm="1">
        <f t="array" ref="N21">-SUMPRODUCT((B$2:B$224=B21)*((C$2:C$224&lt;C21)+(C$2:C$224=C21)*(ROW(I$2:I$224)&lt;=ROW(I21)))*I$2:I$224)</f>
        <v>157560</v>
      </c>
      <c r="O21" s="1">
        <f>ROUND(テーブル10[[#This Row],[為替レート]]*テーブル10[[#This Row],[元残高]],0)</f>
        <v>161398</v>
      </c>
      <c r="P21" s="27">
        <f>テーブル10[[#This Row],[円残高]]-テーブル10[[#This Row],[円残高_時価]]</f>
        <v>-3838</v>
      </c>
    </row>
    <row r="22" spans="1:16" ht="18" customHeight="1" x14ac:dyDescent="0.25">
      <c r="A22" s="8" t="s">
        <v>49</v>
      </c>
      <c r="B22" s="8" t="s">
        <v>93</v>
      </c>
      <c r="C22" s="9">
        <v>44842</v>
      </c>
      <c r="D22" s="24" t="s">
        <v>103</v>
      </c>
      <c r="E22" s="8"/>
      <c r="F22" s="8" t="s">
        <v>1</v>
      </c>
      <c r="G22" s="13">
        <v>-14</v>
      </c>
      <c r="H22" s="26">
        <v>20.76</v>
      </c>
      <c r="I22" s="12">
        <f>ROUND(テーブル10[[#This Row],[元金額]]*テーブル10[[#This Row],[為替レート]],0)</f>
        <v>-291</v>
      </c>
      <c r="J22" s="21"/>
      <c r="K22" s="18"/>
      <c r="L22" s="8" t="s">
        <v>586</v>
      </c>
      <c r="M22" s="16" cm="1">
        <f t="array" ref="M22">-SUMPRODUCT((B$2:B$224=B22)*((C$2:C$224&lt;C22)+(C$2:C$224=C22)*(ROW(G$2:G$224)&lt;=ROW(G22)))*G$2:G$224)</f>
        <v>7811</v>
      </c>
      <c r="N22" s="2" cm="1">
        <f t="array" ref="N22">-SUMPRODUCT((B$2:B$224=B22)*((C$2:C$224&lt;C22)+(C$2:C$224=C22)*(ROW(I$2:I$224)&lt;=ROW(I22)))*I$2:I$224)</f>
        <v>157851</v>
      </c>
      <c r="O22" s="1">
        <f>ROUND(テーブル10[[#This Row],[為替レート]]*テーブル10[[#This Row],[元残高]],0)</f>
        <v>162156</v>
      </c>
      <c r="P22" s="27">
        <f>テーブル10[[#This Row],[円残高]]-テーブル10[[#This Row],[円残高_時価]]</f>
        <v>-4305</v>
      </c>
    </row>
    <row r="23" spans="1:16" ht="18" customHeight="1" x14ac:dyDescent="0.25">
      <c r="A23" s="8" t="s">
        <v>49</v>
      </c>
      <c r="B23" s="8" t="s">
        <v>93</v>
      </c>
      <c r="C23" s="9">
        <v>44845</v>
      </c>
      <c r="D23" s="24" t="s">
        <v>103</v>
      </c>
      <c r="E23" s="8"/>
      <c r="F23" s="8" t="s">
        <v>1</v>
      </c>
      <c r="G23" s="13">
        <v>182</v>
      </c>
      <c r="H23" s="26">
        <v>20.76</v>
      </c>
      <c r="I23" s="12">
        <f>ROUND(テーブル10[[#This Row],[元金額]]*テーブル10[[#This Row],[為替レート]],0)</f>
        <v>3778</v>
      </c>
      <c r="J23" s="21"/>
      <c r="K23" s="18"/>
      <c r="L23" s="8" t="s">
        <v>585</v>
      </c>
      <c r="M23" s="16" cm="1">
        <f t="array" ref="M23">-SUMPRODUCT((B$2:B$224=B23)*((C$2:C$224&lt;C23)+(C$2:C$224=C23)*(ROW(G$2:G$224)&lt;=ROW(G23)))*G$2:G$224)</f>
        <v>7629</v>
      </c>
      <c r="N23" s="2" cm="1">
        <f t="array" ref="N23">-SUMPRODUCT((B$2:B$224=B23)*((C$2:C$224&lt;C23)+(C$2:C$224=C23)*(ROW(I$2:I$224)&lt;=ROW(I23)))*I$2:I$224)</f>
        <v>154073</v>
      </c>
      <c r="O23" s="1">
        <f>ROUND(テーブル10[[#This Row],[為替レート]]*テーブル10[[#This Row],[元残高]],0)</f>
        <v>158378</v>
      </c>
      <c r="P23" s="27">
        <f>テーブル10[[#This Row],[円残高]]-テーブル10[[#This Row],[円残高_時価]]</f>
        <v>-4305</v>
      </c>
    </row>
    <row r="24" spans="1:16" ht="18" customHeight="1" x14ac:dyDescent="0.25">
      <c r="A24" s="8" t="s">
        <v>49</v>
      </c>
      <c r="B24" s="8" t="s">
        <v>93</v>
      </c>
      <c r="C24" s="9">
        <v>44846</v>
      </c>
      <c r="D24" s="24" t="s">
        <v>103</v>
      </c>
      <c r="E24" s="8"/>
      <c r="F24" s="8" t="s">
        <v>1</v>
      </c>
      <c r="G24" s="13">
        <v>6</v>
      </c>
      <c r="H24" s="26">
        <v>20.76</v>
      </c>
      <c r="I24" s="12">
        <f>ROUND(テーブル10[[#This Row],[元金額]]*テーブル10[[#This Row],[為替レート]],0)</f>
        <v>125</v>
      </c>
      <c r="J24" s="21"/>
      <c r="K24" s="18"/>
      <c r="L24" s="8" t="s">
        <v>587</v>
      </c>
      <c r="M24" s="16" cm="1">
        <f t="array" ref="M24">-SUMPRODUCT((B$2:B$224=B24)*((C$2:C$224&lt;C24)+(C$2:C$224=C24)*(ROW(G$2:G$224)&lt;=ROW(G24)))*G$2:G$224)</f>
        <v>7623</v>
      </c>
      <c r="N24" s="2" cm="1">
        <f t="array" ref="N24">-SUMPRODUCT((B$2:B$224=B24)*((C$2:C$224&lt;C24)+(C$2:C$224=C24)*(ROW(I$2:I$224)&lt;=ROW(I24)))*I$2:I$224)</f>
        <v>153948</v>
      </c>
      <c r="O24" s="1">
        <f>ROUND(テーブル10[[#This Row],[為替レート]]*テーブル10[[#This Row],[元残高]],0)</f>
        <v>158253</v>
      </c>
      <c r="P24" s="27">
        <f>テーブル10[[#This Row],[円残高]]-テーブル10[[#This Row],[円残高_時価]]</f>
        <v>-4305</v>
      </c>
    </row>
    <row r="25" spans="1:16" ht="18" customHeight="1" x14ac:dyDescent="0.25">
      <c r="A25" s="8" t="s">
        <v>49</v>
      </c>
      <c r="B25" s="8" t="s">
        <v>93</v>
      </c>
      <c r="C25" s="9">
        <v>44860</v>
      </c>
      <c r="D25" s="24" t="s">
        <v>103</v>
      </c>
      <c r="E25" s="8"/>
      <c r="F25" s="8" t="s">
        <v>1</v>
      </c>
      <c r="G25" s="13">
        <v>875</v>
      </c>
      <c r="H25" s="26">
        <v>20.76</v>
      </c>
      <c r="I25" s="12">
        <f>ROUND(テーブル10[[#This Row],[元金額]]*テーブル10[[#This Row],[為替レート]],0)</f>
        <v>18165</v>
      </c>
      <c r="J25" s="21"/>
      <c r="K25" s="18"/>
      <c r="L25" s="8" t="s">
        <v>588</v>
      </c>
      <c r="M25" s="16" cm="1">
        <f t="array" ref="M25">-SUMPRODUCT((B$2:B$224=B25)*((C$2:C$224&lt;C25)+(C$2:C$224=C25)*(ROW(G$2:G$224)&lt;=ROW(G25)))*G$2:G$224)</f>
        <v>6748</v>
      </c>
      <c r="N25" s="2" cm="1">
        <f t="array" ref="N25">-SUMPRODUCT((B$2:B$224=B25)*((C$2:C$224&lt;C25)+(C$2:C$224=C25)*(ROW(I$2:I$224)&lt;=ROW(I25)))*I$2:I$224)</f>
        <v>135783</v>
      </c>
      <c r="O25" s="1">
        <f>ROUND(テーブル10[[#This Row],[為替レート]]*テーブル10[[#This Row],[元残高]],0)</f>
        <v>140088</v>
      </c>
      <c r="P25" s="27">
        <f>テーブル10[[#This Row],[円残高]]-テーブル10[[#This Row],[円残高_時価]]</f>
        <v>-4305</v>
      </c>
    </row>
    <row r="26" spans="1:16" ht="18" customHeight="1" x14ac:dyDescent="0.25">
      <c r="A26" s="8" t="s">
        <v>49</v>
      </c>
      <c r="B26" s="8" t="s">
        <v>93</v>
      </c>
      <c r="C26" s="9">
        <v>44860</v>
      </c>
      <c r="D26" s="24" t="s">
        <v>103</v>
      </c>
      <c r="E26" s="8"/>
      <c r="F26" s="8" t="s">
        <v>1</v>
      </c>
      <c r="G26" s="13">
        <v>257</v>
      </c>
      <c r="H26" s="26">
        <v>20.76</v>
      </c>
      <c r="I26" s="12">
        <f>ROUND(テーブル10[[#This Row],[元金額]]*テーブル10[[#This Row],[為替レート]],0)</f>
        <v>5335</v>
      </c>
      <c r="J26" s="21" t="s">
        <v>403</v>
      </c>
      <c r="K26" s="18" t="s">
        <v>589</v>
      </c>
      <c r="L26" s="8" t="s">
        <v>592</v>
      </c>
      <c r="M26" s="16" cm="1">
        <f t="array" ref="M26">-SUMPRODUCT((B$2:B$224=B26)*((C$2:C$224&lt;C26)+(C$2:C$224=C26)*(ROW(G$2:G$224)&lt;=ROW(G26)))*G$2:G$224)</f>
        <v>6491</v>
      </c>
      <c r="N26" s="2" cm="1">
        <f t="array" ref="N26">-SUMPRODUCT((B$2:B$224=B26)*((C$2:C$224&lt;C26)+(C$2:C$224=C26)*(ROW(I$2:I$224)&lt;=ROW(I26)))*I$2:I$224)</f>
        <v>130448</v>
      </c>
      <c r="O26" s="1">
        <f>ROUND(テーブル10[[#This Row],[為替レート]]*テーブル10[[#This Row],[元残高]],0)</f>
        <v>134753</v>
      </c>
      <c r="P26" s="27">
        <f>テーブル10[[#This Row],[円残高]]-テーブル10[[#This Row],[円残高_時価]]</f>
        <v>-4305</v>
      </c>
    </row>
    <row r="27" spans="1:16" ht="18" customHeight="1" x14ac:dyDescent="0.25">
      <c r="A27" s="8" t="s">
        <v>49</v>
      </c>
      <c r="B27" s="8" t="s">
        <v>93</v>
      </c>
      <c r="C27" s="9">
        <v>44887</v>
      </c>
      <c r="D27" s="24" t="s">
        <v>103</v>
      </c>
      <c r="E27" s="8"/>
      <c r="F27" s="8" t="s">
        <v>1</v>
      </c>
      <c r="G27" s="13">
        <v>290</v>
      </c>
      <c r="H27" s="26">
        <v>20.11</v>
      </c>
      <c r="I27" s="12">
        <f>ROUND(テーブル10[[#This Row],[元金額]]*テーブル10[[#This Row],[為替レート]],0)</f>
        <v>5832</v>
      </c>
      <c r="J27" s="21"/>
      <c r="K27" s="18"/>
      <c r="L27" s="8" t="s">
        <v>593</v>
      </c>
      <c r="M27" s="16" cm="1">
        <f t="array" ref="M27">-SUMPRODUCT((B$2:B$224=B27)*((C$2:C$224&lt;C27)+(C$2:C$224=C27)*(ROW(G$2:G$224)&lt;=ROW(G27)))*G$2:G$224)</f>
        <v>6201</v>
      </c>
      <c r="N27" s="2" cm="1">
        <f t="array" ref="N27">-SUMPRODUCT((B$2:B$224=B27)*((C$2:C$224&lt;C27)+(C$2:C$224=C27)*(ROW(I$2:I$224)&lt;=ROW(I27)))*I$2:I$224)</f>
        <v>124616</v>
      </c>
      <c r="O27" s="1">
        <f>ROUND(テーブル10[[#This Row],[為替レート]]*テーブル10[[#This Row],[元残高]],0)</f>
        <v>124702</v>
      </c>
      <c r="P27" s="27">
        <f>テーブル10[[#This Row],[円残高]]-テーブル10[[#This Row],[円残高_時価]]</f>
        <v>-86</v>
      </c>
    </row>
    <row r="28" spans="1:16" ht="18" customHeight="1" x14ac:dyDescent="0.25">
      <c r="A28" s="8" t="s">
        <v>49</v>
      </c>
      <c r="B28" s="8" t="s">
        <v>93</v>
      </c>
      <c r="C28" s="9">
        <v>44887</v>
      </c>
      <c r="D28" s="24" t="s">
        <v>103</v>
      </c>
      <c r="E28" s="8"/>
      <c r="F28" s="8" t="s">
        <v>1</v>
      </c>
      <c r="G28" s="13">
        <v>24</v>
      </c>
      <c r="H28" s="26">
        <v>20.11</v>
      </c>
      <c r="I28" s="12">
        <f>ROUND(テーブル10[[#This Row],[元金額]]*テーブル10[[#This Row],[為替レート]],0)</f>
        <v>483</v>
      </c>
      <c r="J28" s="21"/>
      <c r="K28" s="18"/>
      <c r="L28" s="8" t="s">
        <v>593</v>
      </c>
      <c r="M28" s="16" cm="1">
        <f t="array" ref="M28">-SUMPRODUCT((B$2:B$224=B28)*((C$2:C$224&lt;C28)+(C$2:C$224=C28)*(ROW(G$2:G$224)&lt;=ROW(G28)))*G$2:G$224)</f>
        <v>6177</v>
      </c>
      <c r="N28" s="2" cm="1">
        <f t="array" ref="N28">-SUMPRODUCT((B$2:B$224=B28)*((C$2:C$224&lt;C28)+(C$2:C$224=C28)*(ROW(I$2:I$224)&lt;=ROW(I28)))*I$2:I$224)</f>
        <v>124133</v>
      </c>
      <c r="O28" s="1">
        <f>ROUND(テーブル10[[#This Row],[為替レート]]*テーブル10[[#This Row],[元残高]],0)</f>
        <v>124219</v>
      </c>
      <c r="P28" s="27">
        <f>テーブル10[[#This Row],[円残高]]-テーブル10[[#This Row],[円残高_時価]]</f>
        <v>-86</v>
      </c>
    </row>
    <row r="29" spans="1:16" ht="18" customHeight="1" x14ac:dyDescent="0.25">
      <c r="A29" s="8" t="s">
        <v>49</v>
      </c>
      <c r="B29" s="8" t="s">
        <v>93</v>
      </c>
      <c r="C29" s="9">
        <v>44887</v>
      </c>
      <c r="D29" s="24" t="s">
        <v>103</v>
      </c>
      <c r="E29" s="8"/>
      <c r="F29" s="8" t="s">
        <v>1</v>
      </c>
      <c r="G29" s="13">
        <v>44</v>
      </c>
      <c r="H29" s="26">
        <v>20.11</v>
      </c>
      <c r="I29" s="12">
        <f>ROUND(テーブル10[[#This Row],[元金額]]*テーブル10[[#This Row],[為替レート]],0)</f>
        <v>885</v>
      </c>
      <c r="J29" s="21"/>
      <c r="K29" s="18"/>
      <c r="L29" s="8" t="s">
        <v>593</v>
      </c>
      <c r="M29" s="16" cm="1">
        <f t="array" ref="M29">-SUMPRODUCT((B$2:B$224=B29)*((C$2:C$224&lt;C29)+(C$2:C$224=C29)*(ROW(G$2:G$224)&lt;=ROW(G29)))*G$2:G$224)</f>
        <v>6133</v>
      </c>
      <c r="N29" s="2" cm="1">
        <f t="array" ref="N29">-SUMPRODUCT((B$2:B$224=B29)*((C$2:C$224&lt;C29)+(C$2:C$224=C29)*(ROW(I$2:I$224)&lt;=ROW(I29)))*I$2:I$224)</f>
        <v>123248</v>
      </c>
      <c r="O29" s="1">
        <f>ROUND(テーブル10[[#This Row],[為替レート]]*テーブル10[[#This Row],[元残高]],0)</f>
        <v>123335</v>
      </c>
      <c r="P29" s="27">
        <f>テーブル10[[#This Row],[円残高]]-テーブル10[[#This Row],[円残高_時価]]</f>
        <v>-87</v>
      </c>
    </row>
    <row r="30" spans="1:16" ht="18" customHeight="1" x14ac:dyDescent="0.25">
      <c r="A30" s="8" t="s">
        <v>49</v>
      </c>
      <c r="B30" s="8" t="s">
        <v>93</v>
      </c>
      <c r="C30" s="9">
        <v>44887</v>
      </c>
      <c r="D30" s="24" t="s">
        <v>103</v>
      </c>
      <c r="E30" s="8"/>
      <c r="F30" s="8" t="s">
        <v>1</v>
      </c>
      <c r="G30" s="13">
        <v>306</v>
      </c>
      <c r="H30" s="26">
        <v>20.11</v>
      </c>
      <c r="I30" s="12">
        <f>ROUND(テーブル10[[#This Row],[元金額]]*テーブル10[[#This Row],[為替レート]],0)</f>
        <v>6154</v>
      </c>
      <c r="J30" s="21"/>
      <c r="K30" s="18"/>
      <c r="L30" s="8" t="s">
        <v>593</v>
      </c>
      <c r="M30" s="16" cm="1">
        <f t="array" ref="M30">-SUMPRODUCT((B$2:B$224=B30)*((C$2:C$224&lt;C30)+(C$2:C$224=C30)*(ROW(G$2:G$224)&lt;=ROW(G30)))*G$2:G$224)</f>
        <v>5827</v>
      </c>
      <c r="N30" s="2" cm="1">
        <f t="array" ref="N30">-SUMPRODUCT((B$2:B$224=B30)*((C$2:C$224&lt;C30)+(C$2:C$224=C30)*(ROW(I$2:I$224)&lt;=ROW(I30)))*I$2:I$224)</f>
        <v>117094</v>
      </c>
      <c r="O30" s="1">
        <f>ROUND(テーブル10[[#This Row],[為替レート]]*テーブル10[[#This Row],[元残高]],0)</f>
        <v>117181</v>
      </c>
      <c r="P30" s="27">
        <f>テーブル10[[#This Row],[円残高]]-テーブル10[[#This Row],[円残高_時価]]</f>
        <v>-87</v>
      </c>
    </row>
    <row r="31" spans="1:16" ht="18" customHeight="1" x14ac:dyDescent="0.25">
      <c r="A31" s="8" t="s">
        <v>49</v>
      </c>
      <c r="B31" s="8" t="s">
        <v>93</v>
      </c>
      <c r="C31" s="9">
        <v>44887</v>
      </c>
      <c r="D31" s="24" t="s">
        <v>103</v>
      </c>
      <c r="E31" s="8"/>
      <c r="F31" s="8" t="s">
        <v>1</v>
      </c>
      <c r="G31" s="13">
        <v>288</v>
      </c>
      <c r="H31" s="26">
        <v>20.11</v>
      </c>
      <c r="I31" s="12">
        <f>ROUND(テーブル10[[#This Row],[元金額]]*テーブル10[[#This Row],[為替レート]],0)</f>
        <v>5792</v>
      </c>
      <c r="J31" s="21"/>
      <c r="K31" s="18"/>
      <c r="L31" s="8" t="s">
        <v>593</v>
      </c>
      <c r="M31" s="16" cm="1">
        <f t="array" ref="M31">-SUMPRODUCT((B$2:B$224=B31)*((C$2:C$224&lt;C31)+(C$2:C$224=C31)*(ROW(G$2:G$224)&lt;=ROW(G31)))*G$2:G$224)</f>
        <v>5539</v>
      </c>
      <c r="N31" s="2" cm="1">
        <f t="array" ref="N31">-SUMPRODUCT((B$2:B$224=B31)*((C$2:C$224&lt;C31)+(C$2:C$224=C31)*(ROW(I$2:I$224)&lt;=ROW(I31)))*I$2:I$224)</f>
        <v>111302</v>
      </c>
      <c r="O31" s="1">
        <f>ROUND(テーブル10[[#This Row],[為替レート]]*テーブル10[[#This Row],[元残高]],0)</f>
        <v>111389</v>
      </c>
      <c r="P31" s="27">
        <f>テーブル10[[#This Row],[円残高]]-テーブル10[[#This Row],[円残高_時価]]</f>
        <v>-87</v>
      </c>
    </row>
    <row r="32" spans="1:16" ht="18" customHeight="1" x14ac:dyDescent="0.25">
      <c r="A32" s="8" t="s">
        <v>49</v>
      </c>
      <c r="B32" s="8" t="s">
        <v>93</v>
      </c>
      <c r="C32" s="9">
        <v>44887</v>
      </c>
      <c r="D32" s="24" t="s">
        <v>103</v>
      </c>
      <c r="E32" s="8"/>
      <c r="F32" s="8" t="s">
        <v>1</v>
      </c>
      <c r="G32" s="13">
        <v>134</v>
      </c>
      <c r="H32" s="26">
        <v>20.11</v>
      </c>
      <c r="I32" s="12">
        <f>ROUND(テーブル10[[#This Row],[元金額]]*テーブル10[[#This Row],[為替レート]],0)</f>
        <v>2695</v>
      </c>
      <c r="J32" s="21"/>
      <c r="K32" s="18"/>
      <c r="L32" s="8" t="s">
        <v>593</v>
      </c>
      <c r="M32" s="16" cm="1">
        <f t="array" ref="M32">-SUMPRODUCT((B$2:B$224=B32)*((C$2:C$224&lt;C32)+(C$2:C$224=C32)*(ROW(G$2:G$224)&lt;=ROW(G32)))*G$2:G$224)</f>
        <v>5405</v>
      </c>
      <c r="N32" s="2" cm="1">
        <f t="array" ref="N32">-SUMPRODUCT((B$2:B$224=B32)*((C$2:C$224&lt;C32)+(C$2:C$224=C32)*(ROW(I$2:I$224)&lt;=ROW(I32)))*I$2:I$224)</f>
        <v>108607</v>
      </c>
      <c r="O32" s="1">
        <f>ROUND(テーブル10[[#This Row],[為替レート]]*テーブル10[[#This Row],[元残高]],0)</f>
        <v>108695</v>
      </c>
      <c r="P32" s="27">
        <f>テーブル10[[#This Row],[円残高]]-テーブル10[[#This Row],[円残高_時価]]</f>
        <v>-88</v>
      </c>
    </row>
    <row r="33" spans="1:18" ht="18" customHeight="1" x14ac:dyDescent="0.25">
      <c r="A33" s="8" t="s">
        <v>49</v>
      </c>
      <c r="B33" s="8" t="s">
        <v>93</v>
      </c>
      <c r="C33" s="9">
        <v>44887</v>
      </c>
      <c r="D33" s="24" t="s">
        <v>103</v>
      </c>
      <c r="E33" s="8"/>
      <c r="F33" s="8" t="s">
        <v>1</v>
      </c>
      <c r="G33" s="13">
        <v>60</v>
      </c>
      <c r="H33" s="26">
        <v>20.11</v>
      </c>
      <c r="I33" s="12">
        <f>ROUND(テーブル10[[#This Row],[元金額]]*テーブル10[[#This Row],[為替レート]],0)</f>
        <v>1207</v>
      </c>
      <c r="J33" s="21"/>
      <c r="K33" s="18"/>
      <c r="L33" s="8" t="s">
        <v>593</v>
      </c>
      <c r="M33" s="16" cm="1">
        <f t="array" ref="M33">-SUMPRODUCT((B$2:B$224=B33)*((C$2:C$224&lt;C33)+(C$2:C$224=C33)*(ROW(G$2:G$224)&lt;=ROW(G33)))*G$2:G$224)</f>
        <v>5345</v>
      </c>
      <c r="N33" s="2" cm="1">
        <f t="array" ref="N33">-SUMPRODUCT((B$2:B$224=B33)*((C$2:C$224&lt;C33)+(C$2:C$224=C33)*(ROW(I$2:I$224)&lt;=ROW(I33)))*I$2:I$224)</f>
        <v>107400</v>
      </c>
      <c r="O33" s="1">
        <f>ROUND(テーブル10[[#This Row],[為替レート]]*テーブル10[[#This Row],[元残高]],0)</f>
        <v>107488</v>
      </c>
      <c r="P33" s="27">
        <f>テーブル10[[#This Row],[円残高]]-テーブル10[[#This Row],[円残高_時価]]</f>
        <v>-88</v>
      </c>
    </row>
    <row r="34" spans="1:18" ht="18" customHeight="1" x14ac:dyDescent="0.25">
      <c r="A34" s="8" t="s">
        <v>49</v>
      </c>
      <c r="B34" s="8" t="s">
        <v>93</v>
      </c>
      <c r="C34" s="9">
        <v>44887</v>
      </c>
      <c r="D34" s="24" t="s">
        <v>103</v>
      </c>
      <c r="E34" s="8"/>
      <c r="F34" s="8" t="s">
        <v>1</v>
      </c>
      <c r="G34" s="13">
        <v>38</v>
      </c>
      <c r="H34" s="26">
        <v>20.11</v>
      </c>
      <c r="I34" s="12">
        <f>ROUND(テーブル10[[#This Row],[元金額]]*テーブル10[[#This Row],[為替レート]],0)</f>
        <v>764</v>
      </c>
      <c r="J34" s="21"/>
      <c r="K34" s="18"/>
      <c r="L34" s="8" t="s">
        <v>593</v>
      </c>
      <c r="M34" s="16" cm="1">
        <f t="array" ref="M34">-SUMPRODUCT((B$2:B$224=B34)*((C$2:C$224&lt;C34)+(C$2:C$224=C34)*(ROW(G$2:G$224)&lt;=ROW(G34)))*G$2:G$224)</f>
        <v>5307</v>
      </c>
      <c r="N34" s="2" cm="1">
        <f t="array" ref="N34">-SUMPRODUCT((B$2:B$224=B34)*((C$2:C$224&lt;C34)+(C$2:C$224=C34)*(ROW(I$2:I$224)&lt;=ROW(I34)))*I$2:I$224)</f>
        <v>106636</v>
      </c>
      <c r="O34" s="1">
        <f>ROUND(テーブル10[[#This Row],[為替レート]]*テーブル10[[#This Row],[元残高]],0)</f>
        <v>106724</v>
      </c>
      <c r="P34" s="27">
        <f>テーブル10[[#This Row],[円残高]]-テーブル10[[#This Row],[円残高_時価]]</f>
        <v>-88</v>
      </c>
    </row>
    <row r="35" spans="1:18" ht="18" customHeight="1" x14ac:dyDescent="0.25">
      <c r="A35" s="8" t="s">
        <v>49</v>
      </c>
      <c r="B35" s="8" t="s">
        <v>93</v>
      </c>
      <c r="C35" s="9">
        <v>44888</v>
      </c>
      <c r="D35" s="24" t="s">
        <v>103</v>
      </c>
      <c r="E35" s="8"/>
      <c r="F35" s="8" t="s">
        <v>1</v>
      </c>
      <c r="G35" s="13">
        <v>203</v>
      </c>
      <c r="H35" s="26">
        <v>20.11</v>
      </c>
      <c r="I35" s="12">
        <f>ROUND(テーブル10[[#This Row],[元金額]]*テーブル10[[#This Row],[為替レート]],0)</f>
        <v>4082</v>
      </c>
      <c r="J35" s="21"/>
      <c r="K35" s="18"/>
      <c r="L35" s="8" t="s">
        <v>594</v>
      </c>
      <c r="M35" s="16" cm="1">
        <f t="array" ref="M35">-SUMPRODUCT((B$2:B$224=B35)*((C$2:C$224&lt;C35)+(C$2:C$224=C35)*(ROW(G$2:G$224)&lt;=ROW(G35)))*G$2:G$224)</f>
        <v>5104</v>
      </c>
      <c r="N35" s="2" cm="1">
        <f t="array" ref="N35">-SUMPRODUCT((B$2:B$224=B35)*((C$2:C$224&lt;C35)+(C$2:C$224=C35)*(ROW(I$2:I$224)&lt;=ROW(I35)))*I$2:I$224)</f>
        <v>102554</v>
      </c>
      <c r="O35" s="1">
        <f>ROUND(テーブル10[[#This Row],[為替レート]]*テーブル10[[#This Row],[元残高]],0)</f>
        <v>102641</v>
      </c>
      <c r="P35" s="27">
        <f>テーブル10[[#This Row],[円残高]]-テーブル10[[#This Row],[円残高_時価]]</f>
        <v>-87</v>
      </c>
    </row>
    <row r="36" spans="1:18" ht="18" customHeight="1" x14ac:dyDescent="0.25">
      <c r="A36" s="8" t="s">
        <v>49</v>
      </c>
      <c r="B36" s="8" t="s">
        <v>93</v>
      </c>
      <c r="C36" s="9">
        <v>44902</v>
      </c>
      <c r="D36" s="24" t="s">
        <v>103</v>
      </c>
      <c r="E36" s="8"/>
      <c r="F36" s="8" t="s">
        <v>1</v>
      </c>
      <c r="G36" s="13">
        <v>6</v>
      </c>
      <c r="H36" s="26">
        <v>19.64</v>
      </c>
      <c r="I36" s="12">
        <f>ROUND(テーブル10[[#This Row],[元金額]]*テーブル10[[#This Row],[為替レート]],0)</f>
        <v>118</v>
      </c>
      <c r="J36" s="21"/>
      <c r="K36" s="18"/>
      <c r="L36" s="8" t="s">
        <v>595</v>
      </c>
      <c r="M36" s="16" cm="1">
        <f t="array" ref="M36">-SUMPRODUCT((B$2:B$224=B36)*((C$2:C$224&lt;C36)+(C$2:C$224=C36)*(ROW(G$2:G$224)&lt;=ROW(G36)))*G$2:G$224)</f>
        <v>5098</v>
      </c>
      <c r="N36" s="2" cm="1">
        <f t="array" ref="N36">-SUMPRODUCT((B$2:B$224=B36)*((C$2:C$224&lt;C36)+(C$2:C$224=C36)*(ROW(I$2:I$224)&lt;=ROW(I36)))*I$2:I$224)</f>
        <v>102436</v>
      </c>
      <c r="O36" s="1">
        <f>ROUND(テーブル10[[#This Row],[為替レート]]*テーブル10[[#This Row],[元残高]],0)</f>
        <v>100125</v>
      </c>
      <c r="P36" s="27">
        <f>テーブル10[[#This Row],[円残高]]-テーブル10[[#This Row],[円残高_時価]]</f>
        <v>2311</v>
      </c>
    </row>
    <row r="37" spans="1:18" ht="18" customHeight="1" x14ac:dyDescent="0.25">
      <c r="A37" s="8" t="s">
        <v>49</v>
      </c>
      <c r="B37" s="8" t="s">
        <v>93</v>
      </c>
      <c r="C37" s="9">
        <v>44908</v>
      </c>
      <c r="D37" s="24" t="s">
        <v>103</v>
      </c>
      <c r="E37" s="8"/>
      <c r="F37" s="8" t="s">
        <v>1</v>
      </c>
      <c r="G37" s="13">
        <v>1120</v>
      </c>
      <c r="H37" s="26">
        <v>19.64</v>
      </c>
      <c r="I37" s="12">
        <f>ROUND(テーブル10[[#This Row],[元金額]]*テーブル10[[#This Row],[為替レート]],0)</f>
        <v>21997</v>
      </c>
      <c r="J37" s="21" t="s">
        <v>403</v>
      </c>
      <c r="K37" s="18" t="s">
        <v>597</v>
      </c>
      <c r="L37" s="8" t="s">
        <v>596</v>
      </c>
      <c r="M37" s="16" cm="1">
        <f t="array" ref="M37">-SUMPRODUCT((B$2:B$224=B37)*((C$2:C$224&lt;C37)+(C$2:C$224=C37)*(ROW(G$2:G$224)&lt;=ROW(G37)))*G$2:G$224)</f>
        <v>3978</v>
      </c>
      <c r="N37" s="2" cm="1">
        <f t="array" ref="N37">-SUMPRODUCT((B$2:B$224=B37)*((C$2:C$224&lt;C37)+(C$2:C$224=C37)*(ROW(I$2:I$224)&lt;=ROW(I37)))*I$2:I$224)</f>
        <v>80439</v>
      </c>
      <c r="O37" s="1">
        <f>ROUND(テーブル10[[#This Row],[為替レート]]*テーブル10[[#This Row],[元残高]],0)</f>
        <v>78128</v>
      </c>
      <c r="P37" s="27">
        <f>テーブル10[[#This Row],[円残高]]-テーブル10[[#This Row],[円残高_時価]]</f>
        <v>2311</v>
      </c>
    </row>
    <row r="38" spans="1:18" ht="18" customHeight="1" x14ac:dyDescent="0.25">
      <c r="A38" s="8" t="s">
        <v>49</v>
      </c>
      <c r="B38" s="8" t="s">
        <v>93</v>
      </c>
      <c r="C38" s="9">
        <v>44926</v>
      </c>
      <c r="D38" s="24" t="s">
        <v>103</v>
      </c>
      <c r="E38" s="9"/>
      <c r="F38" s="8" t="s">
        <v>1</v>
      </c>
      <c r="G38" s="13">
        <v>-0.1</v>
      </c>
      <c r="H38" s="3">
        <v>19.64</v>
      </c>
      <c r="I38" s="12">
        <f>ROUND(テーブル10[[#This Row],[元金額]]*テーブル10[[#This Row],[為替レート]],0)</f>
        <v>-2</v>
      </c>
      <c r="J38" s="21"/>
      <c r="K38" s="18"/>
      <c r="L38" s="8" t="s">
        <v>615</v>
      </c>
      <c r="M38" s="16" cm="1">
        <f t="array" ref="M38">-SUMPRODUCT((B$2:B$224=B38)*((C$2:C$224&lt;C38)+(C$2:C$224=C38)*(ROW(G$2:G$224)&lt;=ROW(G38)))*G$2:G$224)</f>
        <v>3978.1</v>
      </c>
      <c r="N38" s="2" cm="1">
        <f t="array" ref="N38">-SUMPRODUCT((B$2:B$224=B38)*((C$2:C$224&lt;C38)+(C$2:C$224=C38)*(ROW(I$2:I$224)&lt;=ROW(I38)))*I$2:I$224)</f>
        <v>80441</v>
      </c>
      <c r="O38" s="1">
        <f>ROUND(テーブル10[[#This Row],[為替レート]]*テーブル10[[#This Row],[元残高]],0)</f>
        <v>78130</v>
      </c>
      <c r="P38" s="27">
        <f>テーブル10[[#This Row],[円残高]]-テーブル10[[#This Row],[円残高_時価]]</f>
        <v>2311</v>
      </c>
    </row>
    <row r="39" spans="1:18" ht="18" customHeight="1" x14ac:dyDescent="0.25">
      <c r="A39" s="8" t="s">
        <v>49</v>
      </c>
      <c r="B39" s="8" t="s">
        <v>93</v>
      </c>
      <c r="C39" s="9">
        <v>44927</v>
      </c>
      <c r="D39" s="24" t="s">
        <v>4</v>
      </c>
      <c r="E39" s="8" t="s">
        <v>29</v>
      </c>
      <c r="F39" s="8" t="s">
        <v>1</v>
      </c>
      <c r="G39" s="13">
        <v>552</v>
      </c>
      <c r="H39" s="26">
        <v>19.64</v>
      </c>
      <c r="I39" s="12">
        <f>ROUND(テーブル10[[#This Row],[元金額]]*テーブル10[[#This Row],[為替レート]],0)</f>
        <v>10841</v>
      </c>
      <c r="J39" s="21" t="s">
        <v>404</v>
      </c>
      <c r="K39" s="18" t="s">
        <v>30</v>
      </c>
      <c r="L39" s="33" t="s">
        <v>600</v>
      </c>
      <c r="M39" s="16" cm="1">
        <f t="array" ref="M39">-SUMPRODUCT((B$2:B$224=B39)*((C$2:C$224&lt;C39)+(C$2:C$224=C39)*(ROW(G$2:G$224)&lt;=ROW(G39)))*G$2:G$224)</f>
        <v>3426.1</v>
      </c>
      <c r="N39" s="2" cm="1">
        <f t="array" ref="N39">-SUMPRODUCT((B$2:B$224=B39)*((C$2:C$224&lt;C39)+(C$2:C$224=C39)*(ROW(I$2:I$224)&lt;=ROW(I39)))*I$2:I$224)</f>
        <v>69600</v>
      </c>
      <c r="O39" s="1">
        <f>ROUND(テーブル10[[#This Row],[為替レート]]*テーブル10[[#This Row],[元残高]],0)</f>
        <v>67289</v>
      </c>
      <c r="P39" s="27">
        <f>テーブル10[[#This Row],[円残高]]-テーブル10[[#This Row],[円残高_時価]]</f>
        <v>2311</v>
      </c>
      <c r="R39" s="3" t="str">
        <f>TEXT(テーブル10[[#This Row],[発生日]], "yyyy/mm/dd")&amp;"_"&amp;テーブル10[[#This Row],[備考]]</f>
        <v>2023/01/01_PO-0001_商品代金（552元×19.64円／元）</v>
      </c>
    </row>
    <row r="40" spans="1:18" ht="18" customHeight="1" x14ac:dyDescent="0.25">
      <c r="A40" s="8" t="s">
        <v>49</v>
      </c>
      <c r="B40" s="8" t="s">
        <v>93</v>
      </c>
      <c r="C40" s="9">
        <v>44942</v>
      </c>
      <c r="D40" s="24" t="s">
        <v>4</v>
      </c>
      <c r="E40" s="8" t="s">
        <v>430</v>
      </c>
      <c r="F40" s="8" t="s">
        <v>1</v>
      </c>
      <c r="G40" s="13">
        <v>175</v>
      </c>
      <c r="H40" s="26">
        <v>19.52</v>
      </c>
      <c r="I40" s="12">
        <f>ROUND(テーブル10[[#This Row],[元金額]]*テーブル10[[#This Row],[為替レート]],0)</f>
        <v>3416</v>
      </c>
      <c r="J40" s="21" t="s">
        <v>404</v>
      </c>
      <c r="K40" s="18" t="s">
        <v>30</v>
      </c>
      <c r="L40" s="19" t="s">
        <v>601</v>
      </c>
      <c r="M40" s="16" cm="1">
        <f t="array" ref="M40">-SUMPRODUCT((B$2:B$224=B40)*((C$2:C$224&lt;C40)+(C$2:C$224=C40)*(ROW(G$2:G$224)&lt;=ROW(G40)))*G$2:G$224)</f>
        <v>3251.1</v>
      </c>
      <c r="N40" s="2" cm="1">
        <f t="array" ref="N40">-SUMPRODUCT((B$2:B$224=B40)*((C$2:C$224&lt;C40)+(C$2:C$224=C40)*(ROW(I$2:I$224)&lt;=ROW(I40)))*I$2:I$224)</f>
        <v>66184</v>
      </c>
      <c r="O40" s="1">
        <f>ROUND(テーブル10[[#This Row],[為替レート]]*テーブル10[[#This Row],[元残高]],0)</f>
        <v>63461</v>
      </c>
      <c r="P40" s="27">
        <f>テーブル10[[#This Row],[円残高]]-テーブル10[[#This Row],[円残高_時価]]</f>
        <v>2723</v>
      </c>
      <c r="R40" s="3" t="str">
        <f>TEXT(テーブル10[[#This Row],[発生日]], "yyyy/mm/dd")&amp;"_"&amp;テーブル10[[#This Row],[備考]]</f>
        <v>2023/01/16_PO-0001_検品作業代（175元×19.52円／元）</v>
      </c>
    </row>
    <row r="41" spans="1:18" ht="18" customHeight="1" x14ac:dyDescent="0.25">
      <c r="A41" s="8" t="s">
        <v>49</v>
      </c>
      <c r="B41" s="8" t="s">
        <v>93</v>
      </c>
      <c r="C41" s="9">
        <v>44943</v>
      </c>
      <c r="D41" s="24" t="s">
        <v>4</v>
      </c>
      <c r="E41" s="8" t="s">
        <v>10</v>
      </c>
      <c r="F41" s="8" t="s">
        <v>1</v>
      </c>
      <c r="G41" s="13">
        <v>555</v>
      </c>
      <c r="H41" s="26">
        <v>19.52</v>
      </c>
      <c r="I41" s="12">
        <f>ROUND(テーブル10[[#This Row],[元金額]]*テーブル10[[#This Row],[為替レート]],0)</f>
        <v>10834</v>
      </c>
      <c r="J41" s="21" t="s">
        <v>403</v>
      </c>
      <c r="K41" s="18"/>
      <c r="L41" s="19" t="s">
        <v>602</v>
      </c>
      <c r="M41" s="16" cm="1">
        <f t="array" ref="M41">-SUMPRODUCT((B$2:B$224=B41)*((C$2:C$224&lt;C41)+(C$2:C$224=C41)*(ROW(G$2:G$224)&lt;=ROW(G41)))*G$2:G$224)</f>
        <v>2696.1</v>
      </c>
      <c r="N41" s="2" cm="1">
        <f t="array" ref="N41">-SUMPRODUCT((B$2:B$224=B41)*((C$2:C$224&lt;C41)+(C$2:C$224=C41)*(ROW(I$2:I$224)&lt;=ROW(I41)))*I$2:I$224)</f>
        <v>55350</v>
      </c>
      <c r="O41" s="1">
        <f>ROUND(テーブル10[[#This Row],[為替レート]]*テーブル10[[#This Row],[元残高]],0)</f>
        <v>52628</v>
      </c>
      <c r="P41" s="27">
        <f>テーブル10[[#This Row],[円残高]]-テーブル10[[#This Row],[円残高_時価]]</f>
        <v>2722</v>
      </c>
      <c r="R41" s="3" t="str">
        <f>TEXT(テーブル10[[#This Row],[発生日]], "yyyy/mm/dd")&amp;"_"&amp;テーブル10[[#This Row],[備考]]</f>
        <v>2023/01/17_PO-0001_OCS国際送料（555元×19.52円／元、12kg、1箱）</v>
      </c>
    </row>
    <row r="42" spans="1:18" ht="18" customHeight="1" x14ac:dyDescent="0.25">
      <c r="A42" s="8" t="s">
        <v>49</v>
      </c>
      <c r="B42" s="8" t="s">
        <v>93</v>
      </c>
      <c r="C42" s="9">
        <v>44986</v>
      </c>
      <c r="D42" s="24" t="s">
        <v>4</v>
      </c>
      <c r="E42" s="8" t="s">
        <v>29</v>
      </c>
      <c r="F42" s="8" t="s">
        <v>1</v>
      </c>
      <c r="G42" s="13">
        <v>625</v>
      </c>
      <c r="H42" s="26">
        <v>19.7</v>
      </c>
      <c r="I42" s="12">
        <f>ROUND(テーブル10[[#This Row],[元金額]]*テーブル10[[#This Row],[為替レート]],0)</f>
        <v>12313</v>
      </c>
      <c r="J42" s="21" t="s">
        <v>404</v>
      </c>
      <c r="K42" s="18" t="s">
        <v>598</v>
      </c>
      <c r="L42" s="8" t="s">
        <v>603</v>
      </c>
      <c r="M42" s="16" cm="1">
        <f t="array" ref="M42">-SUMPRODUCT((B$2:B$224=B42)*((C$2:C$224&lt;C42)+(C$2:C$224=C42)*(ROW(G$2:G$224)&lt;=ROW(G42)))*G$2:G$224)</f>
        <v>2071.1</v>
      </c>
      <c r="N42" s="2" cm="1">
        <f t="array" ref="N42">-SUMPRODUCT((B$2:B$224=B42)*((C$2:C$224&lt;C42)+(C$2:C$224=C42)*(ROW(I$2:I$224)&lt;=ROW(I42)))*I$2:I$224)</f>
        <v>43037</v>
      </c>
      <c r="O42" s="1">
        <f>ROUND(テーブル10[[#This Row],[為替レート]]*テーブル10[[#This Row],[元残高]],0)</f>
        <v>40801</v>
      </c>
      <c r="P42" s="27">
        <f>テーブル10[[#This Row],[円残高]]-テーブル10[[#This Row],[円残高_時価]]</f>
        <v>2236</v>
      </c>
    </row>
    <row r="43" spans="1:18" ht="18" customHeight="1" x14ac:dyDescent="0.25">
      <c r="A43" s="8" t="s">
        <v>49</v>
      </c>
      <c r="B43" s="8" t="s">
        <v>93</v>
      </c>
      <c r="C43" s="9">
        <v>45013</v>
      </c>
      <c r="D43" s="24" t="s">
        <v>4</v>
      </c>
      <c r="E43" s="8" t="s">
        <v>10</v>
      </c>
      <c r="F43" s="8" t="s">
        <v>1</v>
      </c>
      <c r="G43" s="13">
        <v>595</v>
      </c>
      <c r="H43" s="26">
        <v>19.7</v>
      </c>
      <c r="I43" s="12">
        <f>ROUND(テーブル10[[#This Row],[元金額]]*テーブル10[[#This Row],[為替レート]],0)</f>
        <v>11722</v>
      </c>
      <c r="J43" s="21" t="s">
        <v>404</v>
      </c>
      <c r="K43" s="18" t="s">
        <v>31</v>
      </c>
      <c r="L43" s="8" t="s">
        <v>604</v>
      </c>
      <c r="M43" s="16" cm="1">
        <f t="array" ref="M43">-SUMPRODUCT((B$2:B$224=B43)*((C$2:C$224&lt;C43)+(C$2:C$224=C43)*(ROW(G$2:G$224)&lt;=ROW(G43)))*G$2:G$224)</f>
        <v>1476.1</v>
      </c>
      <c r="N43" s="2" cm="1">
        <f t="array" ref="N43">-SUMPRODUCT((B$2:B$224=B43)*((C$2:C$224&lt;C43)+(C$2:C$224=C43)*(ROW(I$2:I$224)&lt;=ROW(I43)))*I$2:I$224)</f>
        <v>31315</v>
      </c>
      <c r="O43" s="1">
        <f>ROUND(テーブル10[[#This Row],[為替レート]]*テーブル10[[#This Row],[元残高]],0)</f>
        <v>29079</v>
      </c>
      <c r="P43" s="27">
        <f>テーブル10[[#This Row],[円残高]]-テーブル10[[#This Row],[円残高_時価]]</f>
        <v>2236</v>
      </c>
    </row>
    <row r="44" spans="1:18" ht="18" customHeight="1" x14ac:dyDescent="0.25">
      <c r="A44" s="8" t="s">
        <v>49</v>
      </c>
      <c r="B44" s="8" t="s">
        <v>93</v>
      </c>
      <c r="C44" s="9">
        <v>45015</v>
      </c>
      <c r="D44" s="24" t="s">
        <v>4</v>
      </c>
      <c r="E44" s="8" t="s">
        <v>29</v>
      </c>
      <c r="F44" s="8" t="s">
        <v>1</v>
      </c>
      <c r="G44" s="13">
        <v>200</v>
      </c>
      <c r="H44" s="26">
        <v>19.7</v>
      </c>
      <c r="I44" s="12">
        <f>ROUND(テーブル10[[#This Row],[元金額]]*テーブル10[[#This Row],[為替レート]],0)</f>
        <v>3940</v>
      </c>
      <c r="J44" s="21" t="s">
        <v>404</v>
      </c>
      <c r="K44" s="18" t="s">
        <v>31</v>
      </c>
      <c r="L44" s="8" t="s">
        <v>605</v>
      </c>
      <c r="M44" s="16" cm="1">
        <f t="array" ref="M44">-SUMPRODUCT((B$2:B$224=B44)*((C$2:C$224&lt;C44)+(C$2:C$224=C44)*(ROW(G$2:G$224)&lt;=ROW(G44)))*G$2:G$224)</f>
        <v>1276.0999999999999</v>
      </c>
      <c r="N44" s="2" cm="1">
        <f t="array" ref="N44">-SUMPRODUCT((B$2:B$224=B44)*((C$2:C$224&lt;C44)+(C$2:C$224=C44)*(ROW(I$2:I$224)&lt;=ROW(I44)))*I$2:I$224)</f>
        <v>27375</v>
      </c>
      <c r="O44" s="1">
        <f>ROUND(テーブル10[[#This Row],[為替レート]]*テーブル10[[#This Row],[元残高]],0)</f>
        <v>25139</v>
      </c>
      <c r="P44" s="27">
        <f>テーブル10[[#This Row],[円残高]]-テーブル10[[#This Row],[円残高_時価]]</f>
        <v>2236</v>
      </c>
    </row>
    <row r="45" spans="1:18" ht="18" customHeight="1" x14ac:dyDescent="0.25">
      <c r="A45" s="8" t="s">
        <v>49</v>
      </c>
      <c r="B45" s="8" t="s">
        <v>93</v>
      </c>
      <c r="C45" s="9">
        <v>45015</v>
      </c>
      <c r="D45" s="24" t="s">
        <v>4</v>
      </c>
      <c r="E45" s="8" t="s">
        <v>430</v>
      </c>
      <c r="F45" s="8" t="s">
        <v>1</v>
      </c>
      <c r="G45" s="13">
        <v>40</v>
      </c>
      <c r="H45" s="26">
        <v>19.7</v>
      </c>
      <c r="I45" s="12">
        <f>ROUND(テーブル10[[#This Row],[元金額]]*テーブル10[[#This Row],[為替レート]],0)</f>
        <v>788</v>
      </c>
      <c r="J45" s="21" t="s">
        <v>404</v>
      </c>
      <c r="K45" s="18" t="s">
        <v>31</v>
      </c>
      <c r="L45" s="8" t="s">
        <v>606</v>
      </c>
      <c r="M45" s="16" cm="1">
        <f t="array" ref="M45">-SUMPRODUCT((B$2:B$224=B45)*((C$2:C$224&lt;C45)+(C$2:C$224=C45)*(ROW(G$2:G$224)&lt;=ROW(G45)))*G$2:G$224)</f>
        <v>1236.0999999999999</v>
      </c>
      <c r="N45" s="2" cm="1">
        <f t="array" ref="N45">-SUMPRODUCT((B$2:B$224=B45)*((C$2:C$224&lt;C45)+(C$2:C$224=C45)*(ROW(I$2:I$224)&lt;=ROW(I45)))*I$2:I$224)</f>
        <v>26587</v>
      </c>
      <c r="O45" s="1">
        <f>ROUND(テーブル10[[#This Row],[為替レート]]*テーブル10[[#This Row],[元残高]],0)</f>
        <v>24351</v>
      </c>
      <c r="P45" s="27">
        <f>テーブル10[[#This Row],[円残高]]-テーブル10[[#This Row],[円残高_時価]]</f>
        <v>2236</v>
      </c>
    </row>
    <row r="46" spans="1:18" ht="18" customHeight="1" x14ac:dyDescent="0.25">
      <c r="A46" s="8" t="s">
        <v>49</v>
      </c>
      <c r="B46" s="8" t="s">
        <v>93</v>
      </c>
      <c r="C46" s="9">
        <v>45022</v>
      </c>
      <c r="D46" s="24" t="s">
        <v>4</v>
      </c>
      <c r="E46" s="8" t="s">
        <v>29</v>
      </c>
      <c r="F46" s="8" t="s">
        <v>1</v>
      </c>
      <c r="G46" s="13">
        <v>143</v>
      </c>
      <c r="H46" s="26">
        <v>19.66</v>
      </c>
      <c r="I46" s="12">
        <f>ROUND(テーブル10[[#This Row],[元金額]]*テーブル10[[#This Row],[為替レート]],0)</f>
        <v>2811</v>
      </c>
      <c r="J46" s="21" t="s">
        <v>404</v>
      </c>
      <c r="K46" s="18" t="s">
        <v>599</v>
      </c>
      <c r="L46" s="8" t="s">
        <v>607</v>
      </c>
      <c r="M46" s="16" cm="1">
        <f t="array" ref="M46">-SUMPRODUCT((B$2:B$224=B46)*((C$2:C$224&lt;C46)+(C$2:C$224=C46)*(ROW(G$2:G$224)&lt;=ROW(G46)))*G$2:G$224)</f>
        <v>1093.0999999999999</v>
      </c>
      <c r="N46" s="2" cm="1">
        <f t="array" ref="N46">-SUMPRODUCT((B$2:B$224=B46)*((C$2:C$224&lt;C46)+(C$2:C$224=C46)*(ROW(I$2:I$224)&lt;=ROW(I46)))*I$2:I$224)</f>
        <v>23776</v>
      </c>
      <c r="O46" s="1">
        <f>ROUND(テーブル10[[#This Row],[為替レート]]*テーブル10[[#This Row],[元残高]],0)</f>
        <v>21490</v>
      </c>
      <c r="P46" s="27">
        <f>テーブル10[[#This Row],[円残高]]-テーブル10[[#This Row],[円残高_時価]]</f>
        <v>2286</v>
      </c>
    </row>
    <row r="47" spans="1:18" ht="18" customHeight="1" x14ac:dyDescent="0.25">
      <c r="A47" s="8" t="s">
        <v>49</v>
      </c>
      <c r="B47" s="8" t="s">
        <v>93</v>
      </c>
      <c r="C47" s="9">
        <v>45028</v>
      </c>
      <c r="D47" s="24" t="s">
        <v>87</v>
      </c>
      <c r="E47" s="8"/>
      <c r="F47" s="8" t="s">
        <v>1</v>
      </c>
      <c r="G47" s="13">
        <v>-20346</v>
      </c>
      <c r="H47" s="26">
        <f>400000/20346</f>
        <v>19.659884006684361</v>
      </c>
      <c r="I47" s="12">
        <f>ROUND(テーブル10[[#This Row],[元金額]]*テーブル10[[#This Row],[為替レート]],0)</f>
        <v>-400000</v>
      </c>
      <c r="J47" s="21"/>
      <c r="K47" s="18"/>
      <c r="L47" s="8"/>
      <c r="M47" s="16" cm="1">
        <f t="array" ref="M47">-SUMPRODUCT((B$2:B$224=B47)*((C$2:C$224&lt;C47)+(C$2:C$224=C47)*(ROW(G$2:G$224)&lt;=ROW(G47)))*G$2:G$224)</f>
        <v>21439.1</v>
      </c>
      <c r="N47" s="2" cm="1">
        <f t="array" ref="N47">-SUMPRODUCT((B$2:B$224=B47)*((C$2:C$224&lt;C47)+(C$2:C$224=C47)*(ROW(I$2:I$224)&lt;=ROW(I47)))*I$2:I$224)</f>
        <v>423776</v>
      </c>
      <c r="O47" s="1">
        <f>ROUND(テーブル10[[#This Row],[為替レート]]*テーブル10[[#This Row],[元残高]],0)</f>
        <v>421490</v>
      </c>
      <c r="P47" s="27">
        <f>テーブル10[[#This Row],[円残高]]-テーブル10[[#This Row],[円残高_時価]]</f>
        <v>2286</v>
      </c>
    </row>
    <row r="48" spans="1:18" ht="18" customHeight="1" x14ac:dyDescent="0.25">
      <c r="A48" s="8" t="s">
        <v>49</v>
      </c>
      <c r="B48" s="8" t="s">
        <v>93</v>
      </c>
      <c r="C48" s="9">
        <v>45034</v>
      </c>
      <c r="D48" s="24" t="s">
        <v>4</v>
      </c>
      <c r="E48" s="8" t="s">
        <v>29</v>
      </c>
      <c r="F48" s="8" t="s">
        <v>1</v>
      </c>
      <c r="G48" s="13">
        <v>10000</v>
      </c>
      <c r="H48" s="26">
        <v>19.66</v>
      </c>
      <c r="I48" s="12">
        <f>ROUND(テーブル10[[#This Row],[元金額]]*テーブル10[[#This Row],[為替レート]],0)</f>
        <v>196600</v>
      </c>
      <c r="J48" s="21" t="s">
        <v>404</v>
      </c>
      <c r="K48" s="18" t="s">
        <v>32</v>
      </c>
      <c r="L48" s="8" t="s">
        <v>608</v>
      </c>
      <c r="M48" s="16" cm="1">
        <f t="array" ref="M48">-SUMPRODUCT((B$2:B$224=B48)*((C$2:C$224&lt;C48)+(C$2:C$224=C48)*(ROW(G$2:G$224)&lt;=ROW(G48)))*G$2:G$224)</f>
        <v>11439.099999999999</v>
      </c>
      <c r="N48" s="2" cm="1">
        <f t="array" ref="N48">-SUMPRODUCT((B$2:B$224=B48)*((C$2:C$224&lt;C48)+(C$2:C$224=C48)*(ROW(I$2:I$224)&lt;=ROW(I48)))*I$2:I$224)</f>
        <v>227176</v>
      </c>
      <c r="O48" s="1">
        <f>ROUND(テーブル10[[#This Row],[為替レート]]*テーブル10[[#This Row],[元残高]],0)</f>
        <v>224893</v>
      </c>
      <c r="P48" s="27">
        <f>テーブル10[[#This Row],[円残高]]-テーブル10[[#This Row],[円残高_時価]]</f>
        <v>2283</v>
      </c>
    </row>
    <row r="49" spans="1:16" ht="18" customHeight="1" x14ac:dyDescent="0.25">
      <c r="A49" s="8" t="s">
        <v>49</v>
      </c>
      <c r="B49" s="8" t="s">
        <v>93</v>
      </c>
      <c r="C49" s="9">
        <v>45068</v>
      </c>
      <c r="D49" s="24" t="s">
        <v>4</v>
      </c>
      <c r="E49" s="10" t="s">
        <v>69</v>
      </c>
      <c r="F49" s="8" t="s">
        <v>1</v>
      </c>
      <c r="G49" s="13">
        <v>65</v>
      </c>
      <c r="H49" s="26">
        <v>19.920000000000002</v>
      </c>
      <c r="I49" s="12">
        <f>ROUND(テーブル10[[#This Row],[元金額]]*テーブル10[[#This Row],[為替レート]],0)</f>
        <v>1295</v>
      </c>
      <c r="J49" s="21" t="s">
        <v>404</v>
      </c>
      <c r="K49" s="18" t="s">
        <v>32</v>
      </c>
      <c r="L49" s="8" t="s">
        <v>609</v>
      </c>
      <c r="M49" s="16" cm="1">
        <f t="array" ref="M49">-SUMPRODUCT((B$2:B$224=B49)*((C$2:C$224&lt;C49)+(C$2:C$224=C49)*(ROW(G$2:G$224)&lt;=ROW(G49)))*G$2:G$224)</f>
        <v>11374.099999999999</v>
      </c>
      <c r="N49" s="2" cm="1">
        <f t="array" ref="N49">-SUMPRODUCT((B$2:B$224=B49)*((C$2:C$224&lt;C49)+(C$2:C$224=C49)*(ROW(I$2:I$224)&lt;=ROW(I49)))*I$2:I$224)</f>
        <v>225881</v>
      </c>
      <c r="O49" s="1">
        <f>ROUND(テーブル10[[#This Row],[為替レート]]*テーブル10[[#This Row],[元残高]],0)</f>
        <v>226572</v>
      </c>
      <c r="P49" s="27">
        <f>テーブル10[[#This Row],[円残高]]-テーブル10[[#This Row],[円残高_時価]]</f>
        <v>-691</v>
      </c>
    </row>
    <row r="50" spans="1:16" ht="18" customHeight="1" x14ac:dyDescent="0.25">
      <c r="A50" s="8" t="s">
        <v>49</v>
      </c>
      <c r="B50" s="8" t="s">
        <v>93</v>
      </c>
      <c r="C50" s="9">
        <v>45068</v>
      </c>
      <c r="D50" s="24" t="s">
        <v>4</v>
      </c>
      <c r="E50" s="8" t="s">
        <v>10</v>
      </c>
      <c r="F50" s="8" t="s">
        <v>1</v>
      </c>
      <c r="G50" s="13">
        <v>1664</v>
      </c>
      <c r="H50" s="26">
        <v>19.920000000000002</v>
      </c>
      <c r="I50" s="12">
        <f>ROUND(テーブル10[[#This Row],[元金額]]*テーブル10[[#This Row],[為替レート]],0)</f>
        <v>33147</v>
      </c>
      <c r="J50" s="21" t="s">
        <v>404</v>
      </c>
      <c r="K50" s="18" t="s">
        <v>32</v>
      </c>
      <c r="L50" s="8" t="s">
        <v>610</v>
      </c>
      <c r="M50" s="16" cm="1">
        <f t="array" ref="M50">-SUMPRODUCT((B$2:B$224=B50)*((C$2:C$224&lt;C50)+(C$2:C$224=C50)*(ROW(G$2:G$224)&lt;=ROW(G50)))*G$2:G$224)</f>
        <v>9710.0999999999985</v>
      </c>
      <c r="N50" s="2" cm="1">
        <f t="array" ref="N50">-SUMPRODUCT((B$2:B$224=B50)*((C$2:C$224&lt;C50)+(C$2:C$224=C50)*(ROW(I$2:I$224)&lt;=ROW(I50)))*I$2:I$224)</f>
        <v>192734</v>
      </c>
      <c r="O50" s="1">
        <f>ROUND(テーブル10[[#This Row],[為替レート]]*テーブル10[[#This Row],[元残高]],0)</f>
        <v>193425</v>
      </c>
      <c r="P50" s="27">
        <f>テーブル10[[#This Row],[円残高]]-テーブル10[[#This Row],[円残高_時価]]</f>
        <v>-691</v>
      </c>
    </row>
    <row r="51" spans="1:16" ht="18" customHeight="1" x14ac:dyDescent="0.25">
      <c r="A51" s="8" t="s">
        <v>49</v>
      </c>
      <c r="B51" s="8" t="s">
        <v>93</v>
      </c>
      <c r="C51" s="9">
        <v>45069</v>
      </c>
      <c r="D51" s="24" t="s">
        <v>4</v>
      </c>
      <c r="E51" s="8" t="s">
        <v>29</v>
      </c>
      <c r="F51" s="8" t="s">
        <v>1</v>
      </c>
      <c r="G51" s="13">
        <v>-1536</v>
      </c>
      <c r="H51" s="26">
        <v>19.920000000000002</v>
      </c>
      <c r="I51" s="12">
        <f>ROUND(テーブル10[[#This Row],[元金額]]*テーブル10[[#This Row],[為替レート]],0)</f>
        <v>-30597</v>
      </c>
      <c r="J51" s="21" t="s">
        <v>404</v>
      </c>
      <c r="K51" s="18" t="s">
        <v>32</v>
      </c>
      <c r="L51" s="8" t="s">
        <v>611</v>
      </c>
      <c r="M51" s="16" cm="1">
        <f t="array" ref="M51">-SUMPRODUCT((B$2:B$224=B51)*((C$2:C$224&lt;C51)+(C$2:C$224=C51)*(ROW(G$2:G$224)&lt;=ROW(G51)))*G$2:G$224)</f>
        <v>11246.099999999999</v>
      </c>
      <c r="N51" s="2" cm="1">
        <f t="array" ref="N51">-SUMPRODUCT((B$2:B$224=B51)*((C$2:C$224&lt;C51)+(C$2:C$224=C51)*(ROW(I$2:I$224)&lt;=ROW(I51)))*I$2:I$224)</f>
        <v>223331</v>
      </c>
      <c r="O51" s="1">
        <f>ROUND(テーブル10[[#This Row],[為替レート]]*テーブル10[[#This Row],[元残高]],0)</f>
        <v>224022</v>
      </c>
      <c r="P51" s="27">
        <f>テーブル10[[#This Row],[円残高]]-テーブル10[[#This Row],[円残高_時価]]</f>
        <v>-691</v>
      </c>
    </row>
    <row r="52" spans="1:16" ht="18" customHeight="1" x14ac:dyDescent="0.25">
      <c r="A52" s="8" t="s">
        <v>49</v>
      </c>
      <c r="B52" s="8" t="s">
        <v>93</v>
      </c>
      <c r="C52" s="9">
        <v>45071</v>
      </c>
      <c r="D52" s="24" t="s">
        <v>4</v>
      </c>
      <c r="E52" s="8" t="s">
        <v>430</v>
      </c>
      <c r="F52" s="8" t="s">
        <v>1</v>
      </c>
      <c r="G52" s="13">
        <v>450</v>
      </c>
      <c r="H52" s="26">
        <v>19.920000000000002</v>
      </c>
      <c r="I52" s="12">
        <f>ROUND(テーブル10[[#This Row],[元金額]]*テーブル10[[#This Row],[為替レート]],0)</f>
        <v>8964</v>
      </c>
      <c r="J52" s="21" t="s">
        <v>404</v>
      </c>
      <c r="K52" s="18" t="s">
        <v>32</v>
      </c>
      <c r="L52" s="8" t="s">
        <v>612</v>
      </c>
      <c r="M52" s="16" cm="1">
        <f t="array" ref="M52">-SUMPRODUCT((B$2:B$224=B52)*((C$2:C$224&lt;C52)+(C$2:C$224=C52)*(ROW(G$2:G$224)&lt;=ROW(G52)))*G$2:G$224)</f>
        <v>10796.099999999999</v>
      </c>
      <c r="N52" s="2" cm="1">
        <f t="array" ref="N52">-SUMPRODUCT((B$2:B$224=B52)*((C$2:C$224&lt;C52)+(C$2:C$224=C52)*(ROW(I$2:I$224)&lt;=ROW(I52)))*I$2:I$224)</f>
        <v>214367</v>
      </c>
      <c r="O52" s="1">
        <f>ROUND(テーブル10[[#This Row],[為替レート]]*テーブル10[[#This Row],[元残高]],0)</f>
        <v>215058</v>
      </c>
      <c r="P52" s="27">
        <f>テーブル10[[#This Row],[円残高]]-テーブル10[[#This Row],[円残高_時価]]</f>
        <v>-691</v>
      </c>
    </row>
    <row r="53" spans="1:16" ht="18" customHeight="1" x14ac:dyDescent="0.25">
      <c r="A53" s="8" t="s">
        <v>49</v>
      </c>
      <c r="B53" s="8" t="s">
        <v>93</v>
      </c>
      <c r="C53" s="9">
        <v>45071</v>
      </c>
      <c r="D53" s="24" t="s">
        <v>4</v>
      </c>
      <c r="E53" s="8" t="s">
        <v>29</v>
      </c>
      <c r="F53" s="8" t="s">
        <v>1</v>
      </c>
      <c r="G53" s="13">
        <v>15</v>
      </c>
      <c r="H53" s="26">
        <v>19.920000000000002</v>
      </c>
      <c r="I53" s="12">
        <f>ROUND(テーブル10[[#This Row],[元金額]]*テーブル10[[#This Row],[為替レート]],0)</f>
        <v>299</v>
      </c>
      <c r="J53" s="21" t="s">
        <v>404</v>
      </c>
      <c r="K53" s="18" t="s">
        <v>32</v>
      </c>
      <c r="L53" s="8" t="s">
        <v>613</v>
      </c>
      <c r="M53" s="16" cm="1">
        <f t="array" ref="M53">-SUMPRODUCT((B$2:B$224=B53)*((C$2:C$224&lt;C53)+(C$2:C$224=C53)*(ROW(G$2:G$224)&lt;=ROW(G53)))*G$2:G$224)</f>
        <v>10781.099999999999</v>
      </c>
      <c r="N53" s="2" cm="1">
        <f t="array" ref="N53">-SUMPRODUCT((B$2:B$224=B53)*((C$2:C$224&lt;C53)+(C$2:C$224=C53)*(ROW(I$2:I$224)&lt;=ROW(I53)))*I$2:I$224)</f>
        <v>214068</v>
      </c>
      <c r="O53" s="1">
        <f>ROUND(テーブル10[[#This Row],[為替レート]]*テーブル10[[#This Row],[元残高]],0)</f>
        <v>214760</v>
      </c>
      <c r="P53" s="27">
        <f>テーブル10[[#This Row],[円残高]]-テーブル10[[#This Row],[円残高_時価]]</f>
        <v>-692</v>
      </c>
    </row>
    <row r="54" spans="1:16" ht="18" customHeight="1" x14ac:dyDescent="0.5">
      <c r="A54" s="8" t="s">
        <v>49</v>
      </c>
      <c r="B54" s="8" t="s">
        <v>89</v>
      </c>
      <c r="C54" s="9">
        <v>45074</v>
      </c>
      <c r="D54" s="24" t="s">
        <v>87</v>
      </c>
      <c r="E54" s="9"/>
      <c r="F54" s="8" t="s">
        <v>1</v>
      </c>
      <c r="G54" s="13">
        <v>-15060.24096385542</v>
      </c>
      <c r="H54" s="3">
        <v>19.920000000000002</v>
      </c>
      <c r="I54" s="12">
        <f>ROUND(テーブル10[[#This Row],[元金額]]*テーブル10[[#This Row],[為替レート]],0)</f>
        <v>-300000</v>
      </c>
      <c r="J54" s="21"/>
      <c r="K54" s="18"/>
      <c r="L54" s="8" t="s">
        <v>618</v>
      </c>
      <c r="M54" s="16" cm="1">
        <f t="array" ref="M54">-SUMPRODUCT((B$2:B$224=B54)*((C$2:C$224&lt;C54)+(C$2:C$224=C54)*(ROW(G$2:G$224)&lt;=ROW(G54)))*G$2:G$224)</f>
        <v>15060.24096385542</v>
      </c>
      <c r="N54" s="2" cm="1">
        <f t="array" ref="N54">-SUMPRODUCT((B$2:B$224=B54)*((C$2:C$224&lt;C54)+(C$2:C$224=C54)*(ROW(I$2:I$224)&lt;=ROW(I54)))*I$2:I$224)</f>
        <v>300000</v>
      </c>
      <c r="O54" s="1">
        <f>ROUND(テーブル10[[#This Row],[為替レート]]*テーブル10[[#This Row],[元残高]],0)</f>
        <v>300000</v>
      </c>
      <c r="P54" s="27">
        <f>テーブル10[[#This Row],[円残高]]-テーブル10[[#This Row],[円残高_時価]]</f>
        <v>0</v>
      </c>
    </row>
    <row r="55" spans="1:16" ht="18" customHeight="1" x14ac:dyDescent="0.25">
      <c r="A55" s="8" t="s">
        <v>49</v>
      </c>
      <c r="B55" s="8" t="s">
        <v>93</v>
      </c>
      <c r="C55" s="9">
        <v>45098</v>
      </c>
      <c r="D55" s="24" t="s">
        <v>87</v>
      </c>
      <c r="E55" s="8"/>
      <c r="F55" s="8" t="s">
        <v>1</v>
      </c>
      <c r="G55" s="13">
        <f>189692/20</f>
        <v>9484.6</v>
      </c>
      <c r="H55" s="32">
        <v>20</v>
      </c>
      <c r="I55" s="12">
        <f>ROUND(テーブル10[[#This Row],[元金額]]*テーブル10[[#This Row],[為替レート]],0)</f>
        <v>189692</v>
      </c>
      <c r="J55" s="21"/>
      <c r="K55" s="18"/>
      <c r="L55" s="20" t="s">
        <v>578</v>
      </c>
      <c r="M55" s="16" cm="1">
        <f t="array" ref="M55">-SUMPRODUCT((B$2:B$224=B55)*((C$2:C$224&lt;C55)+(C$2:C$224=C55)*(ROW(G$2:G$224)&lt;=ROW(G55)))*G$2:G$224)</f>
        <v>1296.4999999999982</v>
      </c>
      <c r="N55" s="2" cm="1">
        <f t="array" ref="N55">-SUMPRODUCT((B$2:B$224=B55)*((C$2:C$224&lt;C55)+(C$2:C$224=C55)*(ROW(I$2:I$224)&lt;=ROW(I55)))*I$2:I$224)</f>
        <v>24376</v>
      </c>
      <c r="O55" s="1">
        <f>ROUND(テーブル10[[#This Row],[為替レート]]*テーブル10[[#This Row],[元残高]],0)</f>
        <v>25930</v>
      </c>
      <c r="P55" s="27">
        <f>テーブル10[[#This Row],[円残高]]-テーブル10[[#This Row],[円残高_時価]]</f>
        <v>-1554</v>
      </c>
    </row>
    <row r="56" spans="1:16" ht="18" customHeight="1" x14ac:dyDescent="0.25">
      <c r="A56" s="8" t="s">
        <v>49</v>
      </c>
      <c r="B56" s="8" t="s">
        <v>93</v>
      </c>
      <c r="C56" s="9">
        <v>45098</v>
      </c>
      <c r="D56" s="24" t="s">
        <v>290</v>
      </c>
      <c r="E56" s="8"/>
      <c r="F56" s="8" t="s">
        <v>1</v>
      </c>
      <c r="G56" s="13">
        <v>1296.4999999999982</v>
      </c>
      <c r="H56" s="26">
        <f>テーブル10[[#This Row],[金額]]/テーブル10[[#This Row],[元金額]]</f>
        <v>18.801388353258801</v>
      </c>
      <c r="I56" s="12">
        <v>24376</v>
      </c>
      <c r="J56" s="21"/>
      <c r="K56" s="18"/>
      <c r="L56" s="8" t="s">
        <v>614</v>
      </c>
      <c r="M56" s="16" cm="1">
        <f t="array" ref="M56">-SUMPRODUCT((B$2:B$224=B56)*((C$2:C$224&lt;C56)+(C$2:C$224=C56)*(ROW(G$2:G$224)&lt;=ROW(G56)))*G$2:G$224)</f>
        <v>0</v>
      </c>
      <c r="N56" s="2" cm="1">
        <f t="array" ref="N56">-SUMPRODUCT((B$2:B$224=B56)*((C$2:C$224&lt;C56)+(C$2:C$224=C56)*(ROW(I$2:I$224)&lt;=ROW(I56)))*I$2:I$224)</f>
        <v>0</v>
      </c>
      <c r="O56" s="1">
        <f>ROUND(テーブル10[[#This Row],[為替レート]]*テーブル10[[#This Row],[元残高]],0)</f>
        <v>0</v>
      </c>
      <c r="P56" s="27">
        <f>テーブル10[[#This Row],[円残高]]-テーブル10[[#This Row],[円残高_時価]]</f>
        <v>0</v>
      </c>
    </row>
    <row r="57" spans="1:16" ht="18" customHeight="1" x14ac:dyDescent="0.25">
      <c r="A57" s="10" t="s">
        <v>397</v>
      </c>
      <c r="B57" s="8" t="s">
        <v>70</v>
      </c>
      <c r="C57" s="9">
        <v>45126</v>
      </c>
      <c r="D57" s="22" t="s">
        <v>87</v>
      </c>
      <c r="E57" s="8"/>
      <c r="F57" s="10" t="s">
        <v>1</v>
      </c>
      <c r="G57" s="13">
        <f>-600000/20.63</f>
        <v>-29083.858458555504</v>
      </c>
      <c r="H57" s="3">
        <v>20.63</v>
      </c>
      <c r="I57" s="11">
        <f>ROUND(テーブル10[[#This Row],[元金額]]*テーブル10[[#This Row],[為替レート]],0)</f>
        <v>-600000</v>
      </c>
      <c r="J57" s="8"/>
      <c r="K57" s="18"/>
      <c r="L57" s="8" t="s">
        <v>572</v>
      </c>
      <c r="M57" s="29" cm="1">
        <f t="array" ref="M57">-SUMPRODUCT((B$2:B$224=B57)*((C$2:C$224&lt;C57)+(C$2:C$224=C57)*(ROW(G$2:G$224)&lt;=ROW(G57)))*G$2:G$224)</f>
        <v>29083.858458555504</v>
      </c>
      <c r="N57" s="16" cm="1">
        <f t="array" ref="N57">-SUMPRODUCT((B$2:B$224=B57)*((C$2:C$224&lt;C57)+(C$2:C$224=C57)*(ROW(I$2:I$224)&lt;=ROW(I57)))*I$2:I$224)</f>
        <v>600000</v>
      </c>
      <c r="O57" s="16">
        <f>ROUND(テーブル10[[#This Row],[為替レート]]*テーブル10[[#This Row],[元残高]],0)</f>
        <v>600000</v>
      </c>
      <c r="P57" s="27">
        <f>テーブル10[[#This Row],[円残高]]-テーブル10[[#This Row],[円残高_時価]]</f>
        <v>0</v>
      </c>
    </row>
    <row r="58" spans="1:16" ht="18" customHeight="1" x14ac:dyDescent="0.25">
      <c r="A58" s="8" t="s">
        <v>49</v>
      </c>
      <c r="B58" s="8" t="s">
        <v>70</v>
      </c>
      <c r="C58" s="9">
        <v>45140</v>
      </c>
      <c r="D58" s="22" t="s">
        <v>24</v>
      </c>
      <c r="E58" s="8"/>
      <c r="F58" s="8" t="s">
        <v>1</v>
      </c>
      <c r="G58" s="28">
        <v>16.399999999999999</v>
      </c>
      <c r="H58" s="3">
        <v>20.63</v>
      </c>
      <c r="I58" s="11">
        <f>ROUND(テーブル10[[#This Row],[元金額]]*テーブル10[[#This Row],[為替レート]],0)</f>
        <v>338</v>
      </c>
      <c r="J58" s="8" t="s">
        <v>404</v>
      </c>
      <c r="K58" s="18" t="s">
        <v>27</v>
      </c>
      <c r="L58" s="8" t="s">
        <v>406</v>
      </c>
      <c r="M58" s="29" cm="1">
        <f t="array" ref="M58">-SUMPRODUCT((B$2:B$224=B58)*((C$2:C$224&lt;C58)+(C$2:C$224=C58)*(ROW(G$2:G$224)&lt;=ROW(G58)))*G$2:G$224)</f>
        <v>29067.458458555502</v>
      </c>
      <c r="N58" s="16" cm="1">
        <f t="array" ref="N58">-SUMPRODUCT((B$2:B$224=B58)*((C$2:C$224&lt;C58)+(C$2:C$224=C58)*(ROW(I$2:I$224)&lt;=ROW(I58)))*I$2:I$224)</f>
        <v>599662</v>
      </c>
      <c r="O58" s="16">
        <f>ROUND(テーブル10[[#This Row],[為替レート]]*テーブル10[[#This Row],[元残高]],0)</f>
        <v>599662</v>
      </c>
      <c r="P58" s="27">
        <f>テーブル10[[#This Row],[円残高]]-テーブル10[[#This Row],[円残高_時価]]</f>
        <v>0</v>
      </c>
    </row>
    <row r="59" spans="1:16" ht="18" customHeight="1" x14ac:dyDescent="0.25">
      <c r="A59" s="8" t="s">
        <v>49</v>
      </c>
      <c r="B59" s="8" t="s">
        <v>70</v>
      </c>
      <c r="C59" s="9">
        <v>45140</v>
      </c>
      <c r="D59" s="22" t="s">
        <v>24</v>
      </c>
      <c r="E59" s="8"/>
      <c r="F59" s="8" t="s">
        <v>1</v>
      </c>
      <c r="G59" s="28">
        <v>15.8</v>
      </c>
      <c r="H59" s="3">
        <v>20.63</v>
      </c>
      <c r="I59" s="11">
        <f>ROUND(テーブル10[[#This Row],[元金額]]*テーブル10[[#This Row],[為替レート]],0)</f>
        <v>326</v>
      </c>
      <c r="J59" s="8" t="s">
        <v>404</v>
      </c>
      <c r="K59" s="18" t="s">
        <v>13</v>
      </c>
      <c r="L59" s="8" t="s">
        <v>407</v>
      </c>
      <c r="M59" s="29" cm="1">
        <f t="array" ref="M59">-SUMPRODUCT((B$2:B$224=B59)*((C$2:C$224&lt;C59)+(C$2:C$224=C59)*(ROW(G$2:G$224)&lt;=ROW(G59)))*G$2:G$224)</f>
        <v>29051.658458555503</v>
      </c>
      <c r="N59" s="16" cm="1">
        <f t="array" ref="N59">-SUMPRODUCT((B$2:B$224=B59)*((C$2:C$224&lt;C59)+(C$2:C$224=C59)*(ROW(I$2:I$224)&lt;=ROW(I59)))*I$2:I$224)</f>
        <v>599336</v>
      </c>
      <c r="O59" s="16">
        <f>ROUND(テーブル10[[#This Row],[為替レート]]*テーブル10[[#This Row],[元残高]],0)</f>
        <v>599336</v>
      </c>
      <c r="P59" s="27">
        <f>テーブル10[[#This Row],[円残高]]-テーブル10[[#This Row],[円残高_時価]]</f>
        <v>0</v>
      </c>
    </row>
    <row r="60" spans="1:16" ht="18" customHeight="1" x14ac:dyDescent="0.25">
      <c r="A60" s="8" t="s">
        <v>49</v>
      </c>
      <c r="B60" s="8" t="s">
        <v>70</v>
      </c>
      <c r="C60" s="9">
        <v>45140</v>
      </c>
      <c r="D60" s="22" t="s">
        <v>24</v>
      </c>
      <c r="E60" s="8"/>
      <c r="F60" s="8" t="s">
        <v>1</v>
      </c>
      <c r="G60" s="28">
        <v>15.08</v>
      </c>
      <c r="H60" s="3">
        <v>20.63</v>
      </c>
      <c r="I60" s="11">
        <f>ROUND(テーブル10[[#This Row],[元金額]]*テーブル10[[#This Row],[為替レート]],0)</f>
        <v>311</v>
      </c>
      <c r="J60" s="8" t="s">
        <v>404</v>
      </c>
      <c r="K60" s="18" t="s">
        <v>13</v>
      </c>
      <c r="L60" s="8" t="s">
        <v>408</v>
      </c>
      <c r="M60" s="29" cm="1">
        <f t="array" ref="M60">-SUMPRODUCT((B$2:B$224=B60)*((C$2:C$224&lt;C60)+(C$2:C$224=C60)*(ROW(G$2:G$224)&lt;=ROW(G60)))*G$2:G$224)</f>
        <v>29036.578458555501</v>
      </c>
      <c r="N60" s="16" cm="1">
        <f t="array" ref="N60">-SUMPRODUCT((B$2:B$224=B60)*((C$2:C$224&lt;C60)+(C$2:C$224=C60)*(ROW(I$2:I$224)&lt;=ROW(I60)))*I$2:I$224)</f>
        <v>599025</v>
      </c>
      <c r="O60" s="16">
        <f>ROUND(テーブル10[[#This Row],[為替レート]]*テーブル10[[#This Row],[元残高]],0)</f>
        <v>599025</v>
      </c>
      <c r="P60" s="27">
        <f>テーブル10[[#This Row],[円残高]]-テーブル10[[#This Row],[円残高_時価]]</f>
        <v>0</v>
      </c>
    </row>
    <row r="61" spans="1:16" ht="18" customHeight="1" x14ac:dyDescent="0.25">
      <c r="A61" s="8" t="s">
        <v>49</v>
      </c>
      <c r="B61" s="8" t="s">
        <v>70</v>
      </c>
      <c r="C61" s="9">
        <v>45140</v>
      </c>
      <c r="D61" s="22" t="s">
        <v>24</v>
      </c>
      <c r="E61" s="8"/>
      <c r="F61" s="8" t="s">
        <v>1</v>
      </c>
      <c r="G61" s="28">
        <v>16.2</v>
      </c>
      <c r="H61" s="3">
        <v>20.63</v>
      </c>
      <c r="I61" s="11">
        <f>ROUND(テーブル10[[#This Row],[元金額]]*テーブル10[[#This Row],[為替レート]],0)</f>
        <v>334</v>
      </c>
      <c r="J61" s="8" t="s">
        <v>404</v>
      </c>
      <c r="K61" s="18" t="s">
        <v>13</v>
      </c>
      <c r="L61" s="8" t="s">
        <v>410</v>
      </c>
      <c r="M61" s="29" cm="1">
        <f t="array" ref="M61">-SUMPRODUCT((B$2:B$224=B61)*((C$2:C$224&lt;C61)+(C$2:C$224=C61)*(ROW(G$2:G$224)&lt;=ROW(G61)))*G$2:G$224)</f>
        <v>29020.3784585555</v>
      </c>
      <c r="N61" s="16" cm="1">
        <f t="array" ref="N61">-SUMPRODUCT((B$2:B$224=B61)*((C$2:C$224&lt;C61)+(C$2:C$224=C61)*(ROW(I$2:I$224)&lt;=ROW(I61)))*I$2:I$224)</f>
        <v>598691</v>
      </c>
      <c r="O61" s="16">
        <f>ROUND(テーブル10[[#This Row],[為替レート]]*テーブル10[[#This Row],[元残高]],0)</f>
        <v>598690</v>
      </c>
      <c r="P61" s="27">
        <f>テーブル10[[#This Row],[円残高]]-テーブル10[[#This Row],[円残高_時価]]</f>
        <v>1</v>
      </c>
    </row>
    <row r="62" spans="1:16" ht="18" customHeight="1" x14ac:dyDescent="0.25">
      <c r="A62" s="8" t="s">
        <v>49</v>
      </c>
      <c r="B62" s="8" t="s">
        <v>70</v>
      </c>
      <c r="C62" s="9">
        <v>45140</v>
      </c>
      <c r="D62" s="22" t="s">
        <v>24</v>
      </c>
      <c r="E62" s="8"/>
      <c r="F62" s="8" t="s">
        <v>1</v>
      </c>
      <c r="G62" s="28">
        <v>13.8</v>
      </c>
      <c r="H62" s="3">
        <v>20.63</v>
      </c>
      <c r="I62" s="12">
        <f>ROUND(テーブル10[[#This Row],[元金額]]*テーブル10[[#This Row],[為替レート]],0)</f>
        <v>285</v>
      </c>
      <c r="J62" s="8" t="s">
        <v>404</v>
      </c>
      <c r="K62" s="18" t="s">
        <v>13</v>
      </c>
      <c r="L62" s="8" t="s">
        <v>411</v>
      </c>
      <c r="M62" s="29" cm="1">
        <f t="array" ref="M62">-SUMPRODUCT((B$2:B$224=B62)*((C$2:C$224&lt;C62)+(C$2:C$224=C62)*(ROW(G$2:G$224)&lt;=ROW(G62)))*G$2:G$224)</f>
        <v>29006.578458555501</v>
      </c>
      <c r="N62" s="16" cm="1">
        <f t="array" ref="N62">-SUMPRODUCT((B$2:B$224=B62)*((C$2:C$224&lt;C62)+(C$2:C$224=C62)*(ROW(I$2:I$224)&lt;=ROW(I62)))*I$2:I$224)</f>
        <v>598406</v>
      </c>
      <c r="O62" s="16">
        <f>ROUND(テーブル10[[#This Row],[為替レート]]*テーブル10[[#This Row],[元残高]],0)</f>
        <v>598406</v>
      </c>
      <c r="P62" s="27">
        <f>テーブル10[[#This Row],[円残高]]-テーブル10[[#This Row],[円残高_時価]]</f>
        <v>0</v>
      </c>
    </row>
    <row r="63" spans="1:16" ht="18" customHeight="1" x14ac:dyDescent="0.25">
      <c r="A63" s="8" t="s">
        <v>49</v>
      </c>
      <c r="B63" s="8" t="s">
        <v>70</v>
      </c>
      <c r="C63" s="9">
        <v>45140</v>
      </c>
      <c r="D63" s="22" t="s">
        <v>24</v>
      </c>
      <c r="E63" s="8"/>
      <c r="F63" s="8" t="s">
        <v>1</v>
      </c>
      <c r="G63" s="28">
        <v>18.600000000000001</v>
      </c>
      <c r="H63" s="3">
        <v>20.63</v>
      </c>
      <c r="I63" s="12">
        <f>ROUND(テーブル10[[#This Row],[元金額]]*テーブル10[[#This Row],[為替レート]],0)</f>
        <v>384</v>
      </c>
      <c r="J63" s="8" t="s">
        <v>404</v>
      </c>
      <c r="K63" s="18" t="s">
        <v>13</v>
      </c>
      <c r="L63" s="8" t="s">
        <v>412</v>
      </c>
      <c r="M63" s="29" cm="1">
        <f t="array" ref="M63">-SUMPRODUCT((B$2:B$224=B63)*((C$2:C$224&lt;C63)+(C$2:C$224=C63)*(ROW(G$2:G$224)&lt;=ROW(G63)))*G$2:G$224)</f>
        <v>28987.978458555503</v>
      </c>
      <c r="N63" s="16" cm="1">
        <f t="array" ref="N63">-SUMPRODUCT((B$2:B$224=B63)*((C$2:C$224&lt;C63)+(C$2:C$224=C63)*(ROW(I$2:I$224)&lt;=ROW(I63)))*I$2:I$224)</f>
        <v>598022</v>
      </c>
      <c r="O63" s="16">
        <f>ROUND(テーブル10[[#This Row],[為替レート]]*テーブル10[[#This Row],[元残高]],0)</f>
        <v>598022</v>
      </c>
      <c r="P63" s="27">
        <f>テーブル10[[#This Row],[円残高]]-テーブル10[[#This Row],[円残高_時価]]</f>
        <v>0</v>
      </c>
    </row>
    <row r="64" spans="1:16" ht="18" customHeight="1" x14ac:dyDescent="0.25">
      <c r="A64" s="8" t="s">
        <v>49</v>
      </c>
      <c r="B64" s="8" t="s">
        <v>70</v>
      </c>
      <c r="C64" s="9">
        <v>45140</v>
      </c>
      <c r="D64" s="22" t="s">
        <v>24</v>
      </c>
      <c r="E64" s="8"/>
      <c r="F64" s="8" t="s">
        <v>1</v>
      </c>
      <c r="G64" s="28">
        <v>34.799999999999997</v>
      </c>
      <c r="H64" s="3">
        <v>20.63</v>
      </c>
      <c r="I64" s="12">
        <f>ROUND(テーブル10[[#This Row],[元金額]]*テーブル10[[#This Row],[為替レート]],0)</f>
        <v>718</v>
      </c>
      <c r="J64" s="8" t="s">
        <v>404</v>
      </c>
      <c r="K64" s="18" t="s">
        <v>13</v>
      </c>
      <c r="L64" s="20" t="s">
        <v>619</v>
      </c>
      <c r="M64" s="29" cm="1">
        <f t="array" ref="M64">-SUMPRODUCT((B$2:B$224=B64)*((C$2:C$224&lt;C64)+(C$2:C$224=C64)*(ROW(G$2:G$224)&lt;=ROW(G64)))*G$2:G$224)</f>
        <v>28953.178458555503</v>
      </c>
      <c r="N64" s="16" cm="1">
        <f t="array" ref="N64">-SUMPRODUCT((B$2:B$224=B64)*((C$2:C$224&lt;C64)+(C$2:C$224=C64)*(ROW(I$2:I$224)&lt;=ROW(I64)))*I$2:I$224)</f>
        <v>597304</v>
      </c>
      <c r="O64" s="16">
        <f>ROUND(テーブル10[[#This Row],[為替レート]]*テーブル10[[#This Row],[元残高]],0)</f>
        <v>597304</v>
      </c>
      <c r="P64" s="27">
        <f>テーブル10[[#This Row],[円残高]]-テーブル10[[#This Row],[円残高_時価]]</f>
        <v>0</v>
      </c>
    </row>
    <row r="65" spans="1:18" ht="18" customHeight="1" x14ac:dyDescent="0.25">
      <c r="A65" s="8" t="s">
        <v>49</v>
      </c>
      <c r="B65" s="8" t="s">
        <v>70</v>
      </c>
      <c r="C65" s="9">
        <v>45140</v>
      </c>
      <c r="D65" s="22" t="s">
        <v>24</v>
      </c>
      <c r="E65" s="8"/>
      <c r="F65" s="8" t="s">
        <v>1</v>
      </c>
      <c r="G65" s="28">
        <v>18.98</v>
      </c>
      <c r="H65" s="3">
        <v>20.63</v>
      </c>
      <c r="I65" s="12">
        <f>ROUND(テーブル10[[#This Row],[元金額]]*テーブル10[[#This Row],[為替レート]],0)</f>
        <v>392</v>
      </c>
      <c r="J65" s="8" t="s">
        <v>404</v>
      </c>
      <c r="K65" s="18" t="s">
        <v>13</v>
      </c>
      <c r="L65" s="8" t="s">
        <v>413</v>
      </c>
      <c r="M65" s="29" cm="1">
        <f t="array" ref="M65">-SUMPRODUCT((B$2:B$224=B65)*((C$2:C$224&lt;C65)+(C$2:C$224=C65)*(ROW(G$2:G$224)&lt;=ROW(G65)))*G$2:G$224)</f>
        <v>28934.198458555504</v>
      </c>
      <c r="N65" s="16" cm="1">
        <f t="array" ref="N65">-SUMPRODUCT((B$2:B$224=B65)*((C$2:C$224&lt;C65)+(C$2:C$224=C65)*(ROW(I$2:I$224)&lt;=ROW(I65)))*I$2:I$224)</f>
        <v>596912</v>
      </c>
      <c r="O65" s="16">
        <f>ROUND(テーブル10[[#This Row],[為替レート]]*テーブル10[[#This Row],[元残高]],0)</f>
        <v>596913</v>
      </c>
      <c r="P65" s="27">
        <f>テーブル10[[#This Row],[円残高]]-テーブル10[[#This Row],[円残高_時価]]</f>
        <v>-1</v>
      </c>
    </row>
    <row r="66" spans="1:18" ht="18" customHeight="1" x14ac:dyDescent="0.25">
      <c r="A66" s="8" t="s">
        <v>49</v>
      </c>
      <c r="B66" s="8" t="s">
        <v>70</v>
      </c>
      <c r="C66" s="9">
        <v>45140</v>
      </c>
      <c r="D66" s="22" t="s">
        <v>24</v>
      </c>
      <c r="E66" s="8"/>
      <c r="F66" s="8" t="s">
        <v>1</v>
      </c>
      <c r="G66" s="28">
        <v>12.8</v>
      </c>
      <c r="H66" s="3">
        <v>20.63</v>
      </c>
      <c r="I66" s="12">
        <f>ROUND(テーブル10[[#This Row],[元金額]]*テーブル10[[#This Row],[為替レート]],0)</f>
        <v>264</v>
      </c>
      <c r="J66" s="8" t="s">
        <v>404</v>
      </c>
      <c r="K66" s="18" t="s">
        <v>13</v>
      </c>
      <c r="L66" s="8" t="s">
        <v>414</v>
      </c>
      <c r="M66" s="29" cm="1">
        <f t="array" ref="M66">-SUMPRODUCT((B$2:B$224=B66)*((C$2:C$224&lt;C66)+(C$2:C$224=C66)*(ROW(G$2:G$224)&lt;=ROW(G66)))*G$2:G$224)</f>
        <v>28921.398458555504</v>
      </c>
      <c r="N66" s="16" cm="1">
        <f t="array" ref="N66">-SUMPRODUCT((B$2:B$224=B66)*((C$2:C$224&lt;C66)+(C$2:C$224=C66)*(ROW(I$2:I$224)&lt;=ROW(I66)))*I$2:I$224)</f>
        <v>596648</v>
      </c>
      <c r="O66" s="16">
        <f>ROUND(テーブル10[[#This Row],[為替レート]]*テーブル10[[#This Row],[元残高]],0)</f>
        <v>596648</v>
      </c>
      <c r="P66" s="27">
        <f>テーブル10[[#This Row],[円残高]]-テーブル10[[#This Row],[円残高_時価]]</f>
        <v>0</v>
      </c>
    </row>
    <row r="67" spans="1:18" ht="18" customHeight="1" x14ac:dyDescent="0.25">
      <c r="A67" s="8" t="s">
        <v>49</v>
      </c>
      <c r="B67" s="8" t="s">
        <v>70</v>
      </c>
      <c r="C67" s="9">
        <v>45140</v>
      </c>
      <c r="D67" s="22" t="s">
        <v>24</v>
      </c>
      <c r="E67" s="8"/>
      <c r="F67" s="8" t="s">
        <v>1</v>
      </c>
      <c r="G67" s="28">
        <v>18.975000000000001</v>
      </c>
      <c r="H67" s="3">
        <v>20.63</v>
      </c>
      <c r="I67" s="12">
        <f>ROUND(テーブル10[[#This Row],[元金額]]*テーブル10[[#This Row],[為替レート]],0)</f>
        <v>391</v>
      </c>
      <c r="J67" s="8" t="s">
        <v>404</v>
      </c>
      <c r="K67" s="18" t="s">
        <v>13</v>
      </c>
      <c r="L67" s="8" t="s">
        <v>415</v>
      </c>
      <c r="M67" s="29" cm="1">
        <f t="array" ref="M67">-SUMPRODUCT((B$2:B$224=B67)*((C$2:C$224&lt;C67)+(C$2:C$224=C67)*(ROW(G$2:G$224)&lt;=ROW(G67)))*G$2:G$224)</f>
        <v>28902.423458555506</v>
      </c>
      <c r="N67" s="16" cm="1">
        <f t="array" ref="N67">-SUMPRODUCT((B$2:B$224=B67)*((C$2:C$224&lt;C67)+(C$2:C$224=C67)*(ROW(I$2:I$224)&lt;=ROW(I67)))*I$2:I$224)</f>
        <v>596257</v>
      </c>
      <c r="O67" s="16">
        <f>ROUND(テーブル10[[#This Row],[為替レート]]*テーブル10[[#This Row],[元残高]],0)</f>
        <v>596257</v>
      </c>
      <c r="P67" s="27">
        <f>テーブル10[[#This Row],[円残高]]-テーブル10[[#This Row],[円残高_時価]]</f>
        <v>0</v>
      </c>
    </row>
    <row r="68" spans="1:18" ht="18" customHeight="1" x14ac:dyDescent="0.25">
      <c r="A68" s="8" t="s">
        <v>49</v>
      </c>
      <c r="B68" s="8" t="s">
        <v>70</v>
      </c>
      <c r="C68" s="9">
        <v>45145</v>
      </c>
      <c r="D68" s="22" t="s">
        <v>24</v>
      </c>
      <c r="E68" s="8"/>
      <c r="F68" s="8" t="s">
        <v>1</v>
      </c>
      <c r="G68" s="28">
        <v>17</v>
      </c>
      <c r="H68" s="3">
        <v>20.63</v>
      </c>
      <c r="I68" s="11">
        <f>ROUND(テーブル10[[#This Row],[元金額]]*テーブル10[[#This Row],[為替レート]],0)</f>
        <v>351</v>
      </c>
      <c r="J68" s="8" t="s">
        <v>404</v>
      </c>
      <c r="K68" s="18" t="s">
        <v>13</v>
      </c>
      <c r="L68" s="8" t="s">
        <v>409</v>
      </c>
      <c r="M68" s="29" cm="1">
        <f t="array" ref="M68">-SUMPRODUCT((B$2:B$224=B68)*((C$2:C$224&lt;C68)+(C$2:C$224=C68)*(ROW(G$2:G$224)&lt;=ROW(G68)))*G$2:G$224)</f>
        <v>28885.423458555506</v>
      </c>
      <c r="N68" s="16" cm="1">
        <f t="array" ref="N68">-SUMPRODUCT((B$2:B$224=B68)*((C$2:C$224&lt;C68)+(C$2:C$224=C68)*(ROW(I$2:I$224)&lt;=ROW(I68)))*I$2:I$224)</f>
        <v>595906</v>
      </c>
      <c r="O68" s="16">
        <f>ROUND(テーブル10[[#This Row],[為替レート]]*テーブル10[[#This Row],[元残高]],0)</f>
        <v>595906</v>
      </c>
      <c r="P68" s="27">
        <f>テーブル10[[#This Row],[円残高]]-テーブル10[[#This Row],[円残高_時価]]</f>
        <v>0</v>
      </c>
    </row>
    <row r="69" spans="1:18" ht="18" customHeight="1" x14ac:dyDescent="0.5">
      <c r="A69" s="8" t="s">
        <v>49</v>
      </c>
      <c r="B69" s="8" t="s">
        <v>89</v>
      </c>
      <c r="C69" s="9">
        <v>45176</v>
      </c>
      <c r="D69" s="24" t="s">
        <v>87</v>
      </c>
      <c r="E69" s="9"/>
      <c r="F69" s="8" t="s">
        <v>1</v>
      </c>
      <c r="G69" s="13">
        <v>13895.518753044325</v>
      </c>
      <c r="H69" s="3">
        <v>20.53</v>
      </c>
      <c r="I69" s="12">
        <f>ROUND(テーブル10[[#This Row],[元金額]]*テーブル10[[#This Row],[為替レート]],0)</f>
        <v>285275</v>
      </c>
      <c r="J69" s="21"/>
      <c r="K69" s="18"/>
      <c r="L69" s="8" t="s">
        <v>617</v>
      </c>
      <c r="M69" s="16" cm="1">
        <f t="array" ref="M69">-SUMPRODUCT((B$2:B$224=B69)*((C$2:C$224&lt;C69)+(C$2:C$224=C69)*(ROW(G$2:G$224)&lt;=ROW(G69)))*G$2:G$224)</f>
        <v>1164.7222108110946</v>
      </c>
      <c r="N69" s="2" cm="1">
        <f t="array" ref="N69">-SUMPRODUCT((B$2:B$224=B69)*((C$2:C$224&lt;C69)+(C$2:C$224=C69)*(ROW(I$2:I$224)&lt;=ROW(I69)))*I$2:I$224)</f>
        <v>14725</v>
      </c>
      <c r="O69" s="1">
        <f>ROUND(テーブル10[[#This Row],[為替レート]]*テーブル10[[#This Row],[元残高]],0)</f>
        <v>23912</v>
      </c>
      <c r="P69" s="27">
        <f>テーブル10[[#This Row],[円残高]]-テーブル10[[#This Row],[円残高_時価]]</f>
        <v>-9187</v>
      </c>
    </row>
    <row r="70" spans="1:18" ht="18" customHeight="1" x14ac:dyDescent="0.5">
      <c r="A70" s="8" t="s">
        <v>49</v>
      </c>
      <c r="B70" s="8" t="s">
        <v>89</v>
      </c>
      <c r="C70" s="9">
        <v>45176</v>
      </c>
      <c r="D70" s="24" t="s">
        <v>290</v>
      </c>
      <c r="E70" s="9"/>
      <c r="F70" s="8" t="s">
        <v>1</v>
      </c>
      <c r="G70" s="13">
        <v>1164.7222108110946</v>
      </c>
      <c r="H70" s="26">
        <f>テーブル10[[#This Row],[金額]]/テーブル10[[#This Row],[元金額]]</f>
        <v>12.642499527630488</v>
      </c>
      <c r="I70" s="12">
        <v>14725</v>
      </c>
      <c r="J70" s="21"/>
      <c r="K70" s="18"/>
      <c r="L70" s="8" t="s">
        <v>616</v>
      </c>
      <c r="M70" s="16" cm="1">
        <f t="array" ref="M70">-SUMPRODUCT((B$2:B$224=B70)*((C$2:C$224&lt;C70)+(C$2:C$224=C70)*(ROW(G$2:G$224)&lt;=ROW(G70)))*G$2:G$224)</f>
        <v>0</v>
      </c>
      <c r="N70" s="2" cm="1">
        <f t="array" ref="N70">-SUMPRODUCT((B$2:B$224=B70)*((C$2:C$224&lt;C70)+(C$2:C$224=C70)*(ROW(I$2:I$224)&lt;=ROW(I70)))*I$2:I$224)</f>
        <v>0</v>
      </c>
      <c r="O70" s="1">
        <f>ROUND(テーブル10[[#This Row],[為替レート]]*テーブル10[[#This Row],[元残高]],0)</f>
        <v>0</v>
      </c>
      <c r="P70" s="27">
        <f>テーブル10[[#This Row],[円残高]]-テーブル10[[#This Row],[円残高_時価]]</f>
        <v>0</v>
      </c>
    </row>
    <row r="71" spans="1:18" ht="18" customHeight="1" x14ac:dyDescent="0.25">
      <c r="A71" s="8" t="s">
        <v>49</v>
      </c>
      <c r="B71" s="8" t="s">
        <v>70</v>
      </c>
      <c r="C71" s="9">
        <v>45184</v>
      </c>
      <c r="D71" s="22" t="s">
        <v>24</v>
      </c>
      <c r="E71" s="8"/>
      <c r="F71" s="8" t="s">
        <v>1</v>
      </c>
      <c r="G71" s="13">
        <v>116</v>
      </c>
      <c r="H71" s="3">
        <v>20.63</v>
      </c>
      <c r="I71" s="12">
        <f>ROUND(テーブル10[[#This Row],[元金額]]*テーブル10[[#This Row],[為替レート]],0)</f>
        <v>2393</v>
      </c>
      <c r="J71" s="8" t="s">
        <v>403</v>
      </c>
      <c r="K71" s="18" t="s">
        <v>432</v>
      </c>
      <c r="L71" s="19" t="s">
        <v>438</v>
      </c>
      <c r="M71" s="29" cm="1">
        <f t="array" ref="M71">-SUMPRODUCT((B$2:B$224=B71)*((C$2:C$224&lt;C71)+(C$2:C$224=C71)*(ROW(G$2:G$224)&lt;=ROW(G71)))*G$2:G$224)</f>
        <v>28769.423458555506</v>
      </c>
      <c r="N71" s="16" cm="1">
        <f t="array" ref="N71">-SUMPRODUCT((B$2:B$224=B71)*((C$2:C$224&lt;C71)+(C$2:C$224=C71)*(ROW(I$2:I$224)&lt;=ROW(I71)))*I$2:I$224)</f>
        <v>593513</v>
      </c>
      <c r="O71" s="16">
        <f>ROUND(テーブル10[[#This Row],[為替レート]]*テーブル10[[#This Row],[元残高]],0)</f>
        <v>593513</v>
      </c>
      <c r="P71" s="27">
        <f>テーブル10[[#This Row],[円残高]]-テーブル10[[#This Row],[円残高_時価]]</f>
        <v>0</v>
      </c>
    </row>
    <row r="72" spans="1:18" ht="18" customHeight="1" x14ac:dyDescent="0.25">
      <c r="A72" s="8" t="s">
        <v>49</v>
      </c>
      <c r="B72" s="8" t="s">
        <v>70</v>
      </c>
      <c r="C72" s="9">
        <v>45245</v>
      </c>
      <c r="D72" s="22" t="s">
        <v>24</v>
      </c>
      <c r="E72" s="8"/>
      <c r="F72" s="8" t="s">
        <v>1</v>
      </c>
      <c r="G72" s="13">
        <v>125</v>
      </c>
      <c r="H72" s="3">
        <v>20.63</v>
      </c>
      <c r="I72" s="12">
        <f>ROUND(テーブル10[[#This Row],[元金額]]*テーブル10[[#This Row],[為替レート]],0)</f>
        <v>2579</v>
      </c>
      <c r="J72" s="8" t="s">
        <v>404</v>
      </c>
      <c r="K72" s="18" t="s">
        <v>28</v>
      </c>
      <c r="L72" s="8" t="s">
        <v>416</v>
      </c>
      <c r="M72" s="29" cm="1">
        <f t="array" ref="M72">-SUMPRODUCT((B$2:B$224=B72)*((C$2:C$224&lt;C72)+(C$2:C$224=C72)*(ROW(G$2:G$224)&lt;=ROW(G72)))*G$2:G$224)</f>
        <v>28644.423458555506</v>
      </c>
      <c r="N72" s="16" cm="1">
        <f t="array" ref="N72">-SUMPRODUCT((B$2:B$224=B72)*((C$2:C$224&lt;C72)+(C$2:C$224=C72)*(ROW(I$2:I$224)&lt;=ROW(I72)))*I$2:I$224)</f>
        <v>590934</v>
      </c>
      <c r="O72" s="16">
        <f>ROUND(テーブル10[[#This Row],[為替レート]]*テーブル10[[#This Row],[元残高]],0)</f>
        <v>590934</v>
      </c>
      <c r="P72" s="27">
        <f>テーブル10[[#This Row],[円残高]]-テーブル10[[#This Row],[円残高_時価]]</f>
        <v>0</v>
      </c>
    </row>
    <row r="73" spans="1:18" ht="18" customHeight="1" x14ac:dyDescent="0.25">
      <c r="A73" s="8" t="s">
        <v>49</v>
      </c>
      <c r="B73" s="8" t="s">
        <v>70</v>
      </c>
      <c r="C73" s="9">
        <v>45275</v>
      </c>
      <c r="D73" s="22" t="s">
        <v>24</v>
      </c>
      <c r="E73" s="8"/>
      <c r="F73" s="8" t="s">
        <v>1</v>
      </c>
      <c r="G73" s="13">
        <v>200</v>
      </c>
      <c r="H73" s="3">
        <v>20.63</v>
      </c>
      <c r="I73" s="12">
        <f>ROUND(テーブル10[[#This Row],[元金額]]*テーブル10[[#This Row],[為替レート]],0)</f>
        <v>4126</v>
      </c>
      <c r="J73" s="8" t="s">
        <v>404</v>
      </c>
      <c r="K73" s="18" t="s">
        <v>398</v>
      </c>
      <c r="L73" s="8" t="s">
        <v>417</v>
      </c>
      <c r="M73" s="29" cm="1">
        <f t="array" ref="M73">-SUMPRODUCT((B$2:B$224=B73)*((C$2:C$224&lt;C73)+(C$2:C$224=C73)*(ROW(G$2:G$224)&lt;=ROW(G73)))*G$2:G$224)</f>
        <v>28444.423458555506</v>
      </c>
      <c r="N73" s="16" cm="1">
        <f t="array" ref="N73">-SUMPRODUCT((B$2:B$224=B73)*((C$2:C$224&lt;C73)+(C$2:C$224=C73)*(ROW(I$2:I$224)&lt;=ROW(I73)))*I$2:I$224)</f>
        <v>586808</v>
      </c>
      <c r="O73" s="16">
        <f>ROUND(テーブル10[[#This Row],[為替レート]]*テーブル10[[#This Row],[元残高]],0)</f>
        <v>586808</v>
      </c>
      <c r="P73" s="27">
        <f>テーブル10[[#This Row],[円残高]]-テーブル10[[#This Row],[円残高_時価]]</f>
        <v>0</v>
      </c>
    </row>
    <row r="74" spans="1:18" ht="18" customHeight="1" x14ac:dyDescent="0.25">
      <c r="A74" s="8" t="s">
        <v>49</v>
      </c>
      <c r="B74" s="8" t="s">
        <v>70</v>
      </c>
      <c r="C74" s="9">
        <v>45275</v>
      </c>
      <c r="D74" s="22" t="s">
        <v>24</v>
      </c>
      <c r="E74" s="8"/>
      <c r="F74" s="8" t="s">
        <v>1</v>
      </c>
      <c r="G74" s="13">
        <v>12</v>
      </c>
      <c r="H74" s="3">
        <v>20.63</v>
      </c>
      <c r="I74" s="12">
        <f>ROUND(テーブル10[[#This Row],[元金額]]*テーブル10[[#This Row],[為替レート]],0)</f>
        <v>248</v>
      </c>
      <c r="J74" s="8" t="s">
        <v>404</v>
      </c>
      <c r="K74" s="18" t="s">
        <v>398</v>
      </c>
      <c r="L74" s="8" t="s">
        <v>418</v>
      </c>
      <c r="M74" s="29" cm="1">
        <f t="array" ref="M74">-SUMPRODUCT((B$2:B$224=B74)*((C$2:C$224&lt;C74)+(C$2:C$224=C74)*(ROW(G$2:G$224)&lt;=ROW(G74)))*G$2:G$224)</f>
        <v>28432.423458555506</v>
      </c>
      <c r="N74" s="16" cm="1">
        <f t="array" ref="N74">-SUMPRODUCT((B$2:B$224=B74)*((C$2:C$224&lt;C74)+(C$2:C$224=C74)*(ROW(I$2:I$224)&lt;=ROW(I74)))*I$2:I$224)</f>
        <v>586560</v>
      </c>
      <c r="O74" s="16">
        <f>ROUND(テーブル10[[#This Row],[為替レート]]*テーブル10[[#This Row],[元残高]],0)</f>
        <v>586561</v>
      </c>
      <c r="P74" s="27">
        <f>テーブル10[[#This Row],[円残高]]-テーブル10[[#This Row],[円残高_時価]]</f>
        <v>-1</v>
      </c>
    </row>
    <row r="75" spans="1:18" ht="18" customHeight="1" x14ac:dyDescent="0.25">
      <c r="A75" s="8" t="s">
        <v>49</v>
      </c>
      <c r="B75" s="8" t="s">
        <v>70</v>
      </c>
      <c r="C75" s="9">
        <v>45292</v>
      </c>
      <c r="D75" s="23" t="s">
        <v>405</v>
      </c>
      <c r="E75" s="8"/>
      <c r="F75" s="8" t="s">
        <v>1</v>
      </c>
      <c r="G75" s="13"/>
      <c r="H75" s="26">
        <v>20.63</v>
      </c>
      <c r="I75" s="12">
        <v>21</v>
      </c>
      <c r="J75" s="21"/>
      <c r="K75" s="18"/>
      <c r="L75" s="25" t="s">
        <v>488</v>
      </c>
      <c r="M75" s="29" cm="1">
        <f t="array" ref="M75">-SUMPRODUCT((B$2:B$224=B75)*((C$2:C$224&lt;C75)+(C$2:C$224=C75)*(ROW(G$2:G$224)&lt;=ROW(G75)))*G$2:G$224)</f>
        <v>28432.423458555506</v>
      </c>
      <c r="N75" s="16" cm="1">
        <f t="array" ref="N75">-SUMPRODUCT((B$2:B$224=B75)*((C$2:C$224&lt;C75)+(C$2:C$224=C75)*(ROW(I$2:I$224)&lt;=ROW(I75)))*I$2:I$224)</f>
        <v>586539</v>
      </c>
      <c r="O75" s="16">
        <f>ROUND(テーブル10[[#This Row],[為替レート]]*テーブル10[[#This Row],[元残高]],0)</f>
        <v>586561</v>
      </c>
      <c r="P75" s="27">
        <f>テーブル10[[#This Row],[円残高]]-テーブル10[[#This Row],[円残高_時価]]</f>
        <v>-22</v>
      </c>
      <c r="R75" s="7"/>
    </row>
    <row r="76" spans="1:18" ht="18" customHeight="1" x14ac:dyDescent="0.25">
      <c r="A76" s="8" t="s">
        <v>49</v>
      </c>
      <c r="B76" s="8" t="s">
        <v>70</v>
      </c>
      <c r="C76" s="9">
        <v>45308</v>
      </c>
      <c r="D76" s="22" t="s">
        <v>4</v>
      </c>
      <c r="E76" s="8" t="s">
        <v>29</v>
      </c>
      <c r="F76" s="8" t="s">
        <v>1</v>
      </c>
      <c r="G76" s="13">
        <v>125</v>
      </c>
      <c r="H76" s="3">
        <v>20.63</v>
      </c>
      <c r="I76" s="12">
        <f>ROUND(テーブル10[[#This Row],[元金額]]*テーブル10[[#This Row],[為替レート]],0)</f>
        <v>2579</v>
      </c>
      <c r="J76" s="8" t="s">
        <v>404</v>
      </c>
      <c r="K76" s="18" t="s">
        <v>11</v>
      </c>
      <c r="L76" s="8" t="s">
        <v>419</v>
      </c>
      <c r="M76" s="29" cm="1">
        <f t="array" ref="M76">-SUMPRODUCT((B$2:B$224=B76)*((C$2:C$224&lt;C76)+(C$2:C$224=C76)*(ROW(G$2:G$224)&lt;=ROW(G76)))*G$2:G$224)</f>
        <v>28307.423458555506</v>
      </c>
      <c r="N76" s="16" cm="1">
        <f t="array" ref="N76">-SUMPRODUCT((B$2:B$224=B76)*((C$2:C$224&lt;C76)+(C$2:C$224=C76)*(ROW(I$2:I$224)&lt;=ROW(I76)))*I$2:I$224)</f>
        <v>583960</v>
      </c>
      <c r="O76" s="16">
        <f>ROUND(テーブル10[[#This Row],[為替レート]]*テーブル10[[#This Row],[元残高]],0)</f>
        <v>583982</v>
      </c>
      <c r="P76" s="27">
        <f>テーブル10[[#This Row],[円残高]]-テーブル10[[#This Row],[円残高_時価]]</f>
        <v>-22</v>
      </c>
    </row>
    <row r="77" spans="1:18" ht="18" customHeight="1" x14ac:dyDescent="0.25">
      <c r="A77" s="8" t="s">
        <v>49</v>
      </c>
      <c r="B77" s="8" t="s">
        <v>70</v>
      </c>
      <c r="C77" s="9">
        <v>45363</v>
      </c>
      <c r="D77" s="22" t="s">
        <v>24</v>
      </c>
      <c r="E77" s="8"/>
      <c r="F77" s="8" t="s">
        <v>1</v>
      </c>
      <c r="G77" s="13">
        <v>39</v>
      </c>
      <c r="H77" s="3">
        <v>20.63</v>
      </c>
      <c r="I77" s="12">
        <f>ROUND(テーブル10[[#This Row],[元金額]]*テーブル10[[#This Row],[為替レート]],0)</f>
        <v>805</v>
      </c>
      <c r="J77" s="8" t="s">
        <v>404</v>
      </c>
      <c r="K77" s="18" t="s">
        <v>399</v>
      </c>
      <c r="L77" s="8" t="s">
        <v>420</v>
      </c>
      <c r="M77" s="29" cm="1">
        <f t="array" ref="M77">-SUMPRODUCT((B$2:B$224=B77)*((C$2:C$224&lt;C77)+(C$2:C$224=C77)*(ROW(G$2:G$224)&lt;=ROW(G77)))*G$2:G$224)</f>
        <v>28268.423458555506</v>
      </c>
      <c r="N77" s="16" cm="1">
        <f t="array" ref="N77">-SUMPRODUCT((B$2:B$224=B77)*((C$2:C$224&lt;C77)+(C$2:C$224=C77)*(ROW(I$2:I$224)&lt;=ROW(I77)))*I$2:I$224)</f>
        <v>583155</v>
      </c>
      <c r="O77" s="16">
        <f>ROUND(テーブル10[[#This Row],[為替レート]]*テーブル10[[#This Row],[元残高]],0)</f>
        <v>583178</v>
      </c>
      <c r="P77" s="27">
        <f>テーブル10[[#This Row],[円残高]]-テーブル10[[#This Row],[円残高_時価]]</f>
        <v>-23</v>
      </c>
    </row>
    <row r="78" spans="1:18" ht="18" customHeight="1" x14ac:dyDescent="0.25">
      <c r="A78" s="8" t="s">
        <v>49</v>
      </c>
      <c r="B78" s="8" t="s">
        <v>70</v>
      </c>
      <c r="C78" s="9">
        <v>45363</v>
      </c>
      <c r="D78" s="22" t="s">
        <v>24</v>
      </c>
      <c r="E78" s="8"/>
      <c r="F78" s="8" t="s">
        <v>1</v>
      </c>
      <c r="G78" s="13">
        <v>6.4</v>
      </c>
      <c r="H78" s="3">
        <v>20.63</v>
      </c>
      <c r="I78" s="12">
        <f>ROUND(テーブル10[[#This Row],[元金額]]*テーブル10[[#This Row],[為替レート]],0)</f>
        <v>132</v>
      </c>
      <c r="J78" s="8" t="s">
        <v>404</v>
      </c>
      <c r="K78" s="18" t="s">
        <v>12</v>
      </c>
      <c r="L78" s="8" t="s">
        <v>421</v>
      </c>
      <c r="M78" s="29" cm="1">
        <f t="array" ref="M78">-SUMPRODUCT((B$2:B$224=B78)*((C$2:C$224&lt;C78)+(C$2:C$224=C78)*(ROW(G$2:G$224)&lt;=ROW(G78)))*G$2:G$224)</f>
        <v>28262.023458555504</v>
      </c>
      <c r="N78" s="16" cm="1">
        <f t="array" ref="N78">-SUMPRODUCT((B$2:B$224=B78)*((C$2:C$224&lt;C78)+(C$2:C$224=C78)*(ROW(I$2:I$224)&lt;=ROW(I78)))*I$2:I$224)</f>
        <v>583023</v>
      </c>
      <c r="O78" s="16">
        <f>ROUND(テーブル10[[#This Row],[為替レート]]*テーブル10[[#This Row],[元残高]],0)</f>
        <v>583046</v>
      </c>
      <c r="P78" s="27">
        <f>テーブル10[[#This Row],[円残高]]-テーブル10[[#This Row],[円残高_時価]]</f>
        <v>-23</v>
      </c>
    </row>
    <row r="79" spans="1:18" ht="18" customHeight="1" x14ac:dyDescent="0.25">
      <c r="A79" s="8" t="s">
        <v>49</v>
      </c>
      <c r="B79" s="8" t="s">
        <v>70</v>
      </c>
      <c r="C79" s="9">
        <v>45363</v>
      </c>
      <c r="D79" s="22" t="s">
        <v>24</v>
      </c>
      <c r="E79" s="8"/>
      <c r="F79" s="8" t="s">
        <v>1</v>
      </c>
      <c r="G79" s="13">
        <v>8</v>
      </c>
      <c r="H79" s="3">
        <v>20.63</v>
      </c>
      <c r="I79" s="12">
        <f>ROUND(テーブル10[[#This Row],[元金額]]*テーブル10[[#This Row],[為替レート]],0)</f>
        <v>165</v>
      </c>
      <c r="J79" s="8" t="s">
        <v>404</v>
      </c>
      <c r="K79" s="18" t="s">
        <v>12</v>
      </c>
      <c r="L79" s="8" t="s">
        <v>422</v>
      </c>
      <c r="M79" s="29" cm="1">
        <f t="array" ref="M79">-SUMPRODUCT((B$2:B$224=B79)*((C$2:C$224&lt;C79)+(C$2:C$224=C79)*(ROW(G$2:G$224)&lt;=ROW(G79)))*G$2:G$224)</f>
        <v>28254.023458555504</v>
      </c>
      <c r="N79" s="16" cm="1">
        <f t="array" ref="N79">-SUMPRODUCT((B$2:B$224=B79)*((C$2:C$224&lt;C79)+(C$2:C$224=C79)*(ROW(I$2:I$224)&lt;=ROW(I79)))*I$2:I$224)</f>
        <v>582858</v>
      </c>
      <c r="O79" s="16">
        <f>ROUND(テーブル10[[#This Row],[為替レート]]*テーブル10[[#This Row],[元残高]],0)</f>
        <v>582881</v>
      </c>
      <c r="P79" s="27">
        <f>テーブル10[[#This Row],[円残高]]-テーブル10[[#This Row],[円残高_時価]]</f>
        <v>-23</v>
      </c>
    </row>
    <row r="80" spans="1:18" ht="18" customHeight="1" x14ac:dyDescent="0.25">
      <c r="A80" s="8" t="s">
        <v>49</v>
      </c>
      <c r="B80" s="8" t="s">
        <v>70</v>
      </c>
      <c r="C80" s="9">
        <v>45363</v>
      </c>
      <c r="D80" s="22" t="s">
        <v>24</v>
      </c>
      <c r="E80" s="8"/>
      <c r="F80" s="8" t="s">
        <v>1</v>
      </c>
      <c r="G80" s="13">
        <v>82</v>
      </c>
      <c r="H80" s="3">
        <v>20.63</v>
      </c>
      <c r="I80" s="12">
        <f>ROUND(テーブル10[[#This Row],[元金額]]*テーブル10[[#This Row],[為替レート]],0)</f>
        <v>1692</v>
      </c>
      <c r="J80" s="8" t="s">
        <v>404</v>
      </c>
      <c r="K80" s="18" t="s">
        <v>12</v>
      </c>
      <c r="L80" s="8" t="s">
        <v>423</v>
      </c>
      <c r="M80" s="29" cm="1">
        <f t="array" ref="M80">-SUMPRODUCT((B$2:B$224=B80)*((C$2:C$224&lt;C80)+(C$2:C$224=C80)*(ROW(G$2:G$224)&lt;=ROW(G80)))*G$2:G$224)</f>
        <v>28172.023458555504</v>
      </c>
      <c r="N80" s="16" cm="1">
        <f t="array" ref="N80">-SUMPRODUCT((B$2:B$224=B80)*((C$2:C$224&lt;C80)+(C$2:C$224=C80)*(ROW(I$2:I$224)&lt;=ROW(I80)))*I$2:I$224)</f>
        <v>581166</v>
      </c>
      <c r="O80" s="16">
        <f>ROUND(テーブル10[[#This Row],[為替レート]]*テーブル10[[#This Row],[元残高]],0)</f>
        <v>581189</v>
      </c>
      <c r="P80" s="27">
        <f>テーブル10[[#This Row],[円残高]]-テーブル10[[#This Row],[円残高_時価]]</f>
        <v>-23</v>
      </c>
    </row>
    <row r="81" spans="1:16" ht="18" customHeight="1" x14ac:dyDescent="0.25">
      <c r="A81" s="8" t="s">
        <v>49</v>
      </c>
      <c r="B81" s="8" t="s">
        <v>70</v>
      </c>
      <c r="C81" s="9">
        <v>45363</v>
      </c>
      <c r="D81" s="22" t="s">
        <v>24</v>
      </c>
      <c r="E81" s="8"/>
      <c r="F81" s="8" t="s">
        <v>1</v>
      </c>
      <c r="G81" s="13">
        <v>7.2</v>
      </c>
      <c r="H81" s="3">
        <v>20.63</v>
      </c>
      <c r="I81" s="12">
        <f>ROUND(テーブル10[[#This Row],[元金額]]*テーブル10[[#This Row],[為替レート]],0)</f>
        <v>149</v>
      </c>
      <c r="J81" s="8" t="s">
        <v>404</v>
      </c>
      <c r="K81" s="18" t="s">
        <v>12</v>
      </c>
      <c r="L81" s="8" t="s">
        <v>424</v>
      </c>
      <c r="M81" s="29" cm="1">
        <f t="array" ref="M81">-SUMPRODUCT((B$2:B$224=B81)*((C$2:C$224&lt;C81)+(C$2:C$224=C81)*(ROW(G$2:G$224)&lt;=ROW(G81)))*G$2:G$224)</f>
        <v>28164.823458555504</v>
      </c>
      <c r="N81" s="16" cm="1">
        <f t="array" ref="N81">-SUMPRODUCT((B$2:B$224=B81)*((C$2:C$224&lt;C81)+(C$2:C$224=C81)*(ROW(I$2:I$224)&lt;=ROW(I81)))*I$2:I$224)</f>
        <v>581017</v>
      </c>
      <c r="O81" s="16">
        <f>ROUND(テーブル10[[#This Row],[為替レート]]*テーブル10[[#This Row],[元残高]],0)</f>
        <v>581040</v>
      </c>
      <c r="P81" s="27">
        <f>テーブル10[[#This Row],[円残高]]-テーブル10[[#This Row],[円残高_時価]]</f>
        <v>-23</v>
      </c>
    </row>
    <row r="82" spans="1:16" ht="18" customHeight="1" x14ac:dyDescent="0.25">
      <c r="A82" s="8" t="s">
        <v>49</v>
      </c>
      <c r="B82" s="8" t="s">
        <v>70</v>
      </c>
      <c r="C82" s="9">
        <v>45363</v>
      </c>
      <c r="D82" s="22" t="s">
        <v>24</v>
      </c>
      <c r="E82" s="8"/>
      <c r="F82" s="8" t="s">
        <v>1</v>
      </c>
      <c r="G82" s="13">
        <v>215</v>
      </c>
      <c r="H82" s="3">
        <v>20.63</v>
      </c>
      <c r="I82" s="12">
        <f>ROUND(テーブル10[[#This Row],[元金額]]*テーブル10[[#This Row],[為替レート]],0)</f>
        <v>4435</v>
      </c>
      <c r="J82" s="8" t="s">
        <v>404</v>
      </c>
      <c r="K82" s="18" t="s">
        <v>400</v>
      </c>
      <c r="L82" s="8" t="s">
        <v>425</v>
      </c>
      <c r="M82" s="29" cm="1">
        <f t="array" ref="M82">-SUMPRODUCT((B$2:B$224=B82)*((C$2:C$224&lt;C82)+(C$2:C$224=C82)*(ROW(G$2:G$224)&lt;=ROW(G82)))*G$2:G$224)</f>
        <v>27949.823458555504</v>
      </c>
      <c r="N82" s="16" cm="1">
        <f t="array" ref="N82">-SUMPRODUCT((B$2:B$224=B82)*((C$2:C$224&lt;C82)+(C$2:C$224=C82)*(ROW(I$2:I$224)&lt;=ROW(I82)))*I$2:I$224)</f>
        <v>576582</v>
      </c>
      <c r="O82" s="16">
        <f>ROUND(テーブル10[[#This Row],[為替レート]]*テーブル10[[#This Row],[元残高]],0)</f>
        <v>576605</v>
      </c>
      <c r="P82" s="27">
        <f>テーブル10[[#This Row],[円残高]]-テーブル10[[#This Row],[円残高_時価]]</f>
        <v>-23</v>
      </c>
    </row>
    <row r="83" spans="1:16" ht="18" customHeight="1" x14ac:dyDescent="0.25">
      <c r="A83" s="8" t="s">
        <v>49</v>
      </c>
      <c r="B83" s="8" t="s">
        <v>70</v>
      </c>
      <c r="C83" s="9">
        <v>45400</v>
      </c>
      <c r="D83" s="22" t="s">
        <v>24</v>
      </c>
      <c r="E83" s="8"/>
      <c r="F83" s="8" t="s">
        <v>1</v>
      </c>
      <c r="G83" s="13">
        <v>18</v>
      </c>
      <c r="H83" s="3">
        <v>20.63</v>
      </c>
      <c r="I83" s="12">
        <f>ROUND(テーブル10[[#This Row],[元金額]]*テーブル10[[#This Row],[為替レート]],0)</f>
        <v>371</v>
      </c>
      <c r="J83" s="8" t="s">
        <v>404</v>
      </c>
      <c r="K83" s="18" t="s">
        <v>400</v>
      </c>
      <c r="L83" s="8" t="s">
        <v>426</v>
      </c>
      <c r="M83" s="29" cm="1">
        <f t="array" ref="M83">-SUMPRODUCT((B$2:B$224=B83)*((C$2:C$224&lt;C83)+(C$2:C$224=C83)*(ROW(G$2:G$224)&lt;=ROW(G83)))*G$2:G$224)</f>
        <v>27931.823458555504</v>
      </c>
      <c r="N83" s="16" cm="1">
        <f t="array" ref="N83">-SUMPRODUCT((B$2:B$224=B83)*((C$2:C$224&lt;C83)+(C$2:C$224=C83)*(ROW(I$2:I$224)&lt;=ROW(I83)))*I$2:I$224)</f>
        <v>576211</v>
      </c>
      <c r="O83" s="16">
        <f>ROUND(テーブル10[[#This Row],[為替レート]]*テーブル10[[#This Row],[元残高]],0)</f>
        <v>576234</v>
      </c>
      <c r="P83" s="27">
        <f>テーブル10[[#This Row],[円残高]]-テーブル10[[#This Row],[円残高_時価]]</f>
        <v>-23</v>
      </c>
    </row>
    <row r="84" spans="1:16" ht="18" customHeight="1" x14ac:dyDescent="0.25">
      <c r="A84" s="8" t="s">
        <v>49</v>
      </c>
      <c r="B84" s="8" t="s">
        <v>70</v>
      </c>
      <c r="C84" s="9">
        <v>45405</v>
      </c>
      <c r="D84" s="22" t="s">
        <v>4</v>
      </c>
      <c r="E84" s="8" t="s">
        <v>29</v>
      </c>
      <c r="F84" s="8" t="s">
        <v>1</v>
      </c>
      <c r="G84" s="13">
        <v>2655</v>
      </c>
      <c r="H84" s="3">
        <v>20.63</v>
      </c>
      <c r="I84" s="12">
        <f>ROUND(テーブル10[[#This Row],[元金額]]*テーブル10[[#This Row],[為替レート]],0)</f>
        <v>54773</v>
      </c>
      <c r="J84" s="8" t="s">
        <v>404</v>
      </c>
      <c r="K84" s="18" t="s">
        <v>14</v>
      </c>
      <c r="L84" s="8" t="s">
        <v>427</v>
      </c>
      <c r="M84" s="29" cm="1">
        <f t="array" ref="M84">-SUMPRODUCT((B$2:B$224=B84)*((C$2:C$224&lt;C84)+(C$2:C$224=C84)*(ROW(G$2:G$224)&lt;=ROW(G84)))*G$2:G$224)</f>
        <v>25276.823458555504</v>
      </c>
      <c r="N84" s="16" cm="1">
        <f t="array" ref="N84">-SUMPRODUCT((B$2:B$224=B84)*((C$2:C$224&lt;C84)+(C$2:C$224=C84)*(ROW(I$2:I$224)&lt;=ROW(I84)))*I$2:I$224)</f>
        <v>521438</v>
      </c>
      <c r="O84" s="16">
        <f>ROUND(テーブル10[[#This Row],[為替レート]]*テーブル10[[#This Row],[元残高]],0)</f>
        <v>521461</v>
      </c>
      <c r="P84" s="27">
        <f>テーブル10[[#This Row],[円残高]]-テーブル10[[#This Row],[円残高_時価]]</f>
        <v>-23</v>
      </c>
    </row>
    <row r="85" spans="1:16" ht="18" customHeight="1" x14ac:dyDescent="0.25">
      <c r="A85" s="8" t="s">
        <v>49</v>
      </c>
      <c r="B85" s="8" t="s">
        <v>70</v>
      </c>
      <c r="C85" s="9">
        <v>45425</v>
      </c>
      <c r="D85" s="22" t="s">
        <v>24</v>
      </c>
      <c r="E85" s="8"/>
      <c r="F85" s="8" t="s">
        <v>1</v>
      </c>
      <c r="G85" s="13">
        <v>126</v>
      </c>
      <c r="H85" s="3">
        <v>20.63</v>
      </c>
      <c r="I85" s="12">
        <f>ROUND(テーブル10[[#This Row],[元金額]]*テーブル10[[#This Row],[為替レート]],0)</f>
        <v>2599</v>
      </c>
      <c r="J85" s="8" t="s">
        <v>403</v>
      </c>
      <c r="K85" s="18">
        <v>26019111134</v>
      </c>
      <c r="L85" s="8" t="s">
        <v>428</v>
      </c>
      <c r="M85" s="29" cm="1">
        <f t="array" ref="M85">-SUMPRODUCT((B$2:B$224=B85)*((C$2:C$224&lt;C85)+(C$2:C$224=C85)*(ROW(G$2:G$224)&lt;=ROW(G85)))*G$2:G$224)</f>
        <v>25150.823458555504</v>
      </c>
      <c r="N85" s="16" cm="1">
        <f t="array" ref="N85">-SUMPRODUCT((B$2:B$224=B85)*((C$2:C$224&lt;C85)+(C$2:C$224=C85)*(ROW(I$2:I$224)&lt;=ROW(I85)))*I$2:I$224)</f>
        <v>518839</v>
      </c>
      <c r="O85" s="16">
        <f>ROUND(テーブル10[[#This Row],[為替レート]]*テーブル10[[#This Row],[元残高]],0)</f>
        <v>518861</v>
      </c>
      <c r="P85" s="27">
        <f>テーブル10[[#This Row],[円残高]]-テーブル10[[#This Row],[円残高_時価]]</f>
        <v>-22</v>
      </c>
    </row>
    <row r="86" spans="1:16" ht="18" customHeight="1" x14ac:dyDescent="0.25">
      <c r="A86" s="8" t="s">
        <v>49</v>
      </c>
      <c r="B86" s="8" t="s">
        <v>70</v>
      </c>
      <c r="C86" s="9">
        <v>45425</v>
      </c>
      <c r="D86" s="22" t="s">
        <v>24</v>
      </c>
      <c r="E86" s="8"/>
      <c r="F86" s="8" t="s">
        <v>1</v>
      </c>
      <c r="G86" s="13">
        <v>58</v>
      </c>
      <c r="H86" s="3">
        <v>20.63</v>
      </c>
      <c r="I86" s="12">
        <f>ROUND(テーブル10[[#This Row],[元金額]]*テーブル10[[#This Row],[為替レート]],0)</f>
        <v>1197</v>
      </c>
      <c r="J86" s="8" t="s">
        <v>403</v>
      </c>
      <c r="K86" s="18">
        <v>26019111134</v>
      </c>
      <c r="L86" s="8" t="s">
        <v>429</v>
      </c>
      <c r="M86" s="29" cm="1">
        <f t="array" ref="M86">-SUMPRODUCT((B$2:B$224=B86)*((C$2:C$224&lt;C86)+(C$2:C$224=C86)*(ROW(G$2:G$224)&lt;=ROW(G86)))*G$2:G$224)</f>
        <v>25092.823458555504</v>
      </c>
      <c r="N86" s="16" cm="1">
        <f t="array" ref="N86">-SUMPRODUCT((B$2:B$224=B86)*((C$2:C$224&lt;C86)+(C$2:C$224=C86)*(ROW(I$2:I$224)&lt;=ROW(I86)))*I$2:I$224)</f>
        <v>517642</v>
      </c>
      <c r="O86" s="16">
        <f>ROUND(テーブル10[[#This Row],[為替レート]]*テーブル10[[#This Row],[元残高]],0)</f>
        <v>517665</v>
      </c>
      <c r="P86" s="27">
        <f>テーブル10[[#This Row],[円残高]]-テーブル10[[#This Row],[円残高_時価]]</f>
        <v>-23</v>
      </c>
    </row>
    <row r="87" spans="1:16" ht="18" customHeight="1" x14ac:dyDescent="0.25">
      <c r="A87" s="8" t="s">
        <v>49</v>
      </c>
      <c r="B87" s="8" t="s">
        <v>70</v>
      </c>
      <c r="C87" s="9">
        <v>45433</v>
      </c>
      <c r="D87" s="22" t="s">
        <v>4</v>
      </c>
      <c r="E87" s="8" t="s">
        <v>430</v>
      </c>
      <c r="F87" s="8" t="s">
        <v>1</v>
      </c>
      <c r="G87" s="13">
        <v>225</v>
      </c>
      <c r="H87" s="3">
        <v>20.63</v>
      </c>
      <c r="I87" s="12">
        <f>ROUND(テーブル10[[#This Row],[元金額]]*テーブル10[[#This Row],[為替レート]],0)</f>
        <v>4642</v>
      </c>
      <c r="J87" s="8" t="s">
        <v>404</v>
      </c>
      <c r="K87" s="18" t="s">
        <v>14</v>
      </c>
      <c r="L87" s="20" t="s">
        <v>439</v>
      </c>
      <c r="M87" s="29" cm="1">
        <f t="array" ref="M87">-SUMPRODUCT((B$2:B$224=B87)*((C$2:C$224&lt;C87)+(C$2:C$224=C87)*(ROW(G$2:G$224)&lt;=ROW(G87)))*G$2:G$224)</f>
        <v>24867.823458555504</v>
      </c>
      <c r="N87" s="16" cm="1">
        <f t="array" ref="N87">-SUMPRODUCT((B$2:B$224=B87)*((C$2:C$224&lt;C87)+(C$2:C$224=C87)*(ROW(I$2:I$224)&lt;=ROW(I87)))*I$2:I$224)</f>
        <v>513000</v>
      </c>
      <c r="O87" s="16">
        <f>ROUND(テーブル10[[#This Row],[為替レート]]*テーブル10[[#This Row],[元残高]],0)</f>
        <v>513023</v>
      </c>
      <c r="P87" s="27">
        <f>テーブル10[[#This Row],[円残高]]-テーブル10[[#This Row],[円残高_時価]]</f>
        <v>-23</v>
      </c>
    </row>
    <row r="88" spans="1:16" ht="18" customHeight="1" x14ac:dyDescent="0.25">
      <c r="A88" s="8" t="s">
        <v>49</v>
      </c>
      <c r="B88" s="8" t="s">
        <v>70</v>
      </c>
      <c r="C88" s="9">
        <v>45435</v>
      </c>
      <c r="D88" s="22" t="s">
        <v>24</v>
      </c>
      <c r="E88" s="8"/>
      <c r="F88" s="8" t="s">
        <v>1</v>
      </c>
      <c r="G88" s="13">
        <v>1030</v>
      </c>
      <c r="H88" s="3">
        <v>20.63</v>
      </c>
      <c r="I88" s="12">
        <f>ROUND(テーブル10[[#This Row],[元金額]]*テーブル10[[#This Row],[為替レート]],0)</f>
        <v>21249</v>
      </c>
      <c r="J88" s="8" t="s">
        <v>404</v>
      </c>
      <c r="K88" s="18" t="s">
        <v>431</v>
      </c>
      <c r="L88" s="8" t="s">
        <v>433</v>
      </c>
      <c r="M88" s="29" cm="1">
        <f t="array" ref="M88">-SUMPRODUCT((B$2:B$224=B88)*((C$2:C$224&lt;C88)+(C$2:C$224=C88)*(ROW(G$2:G$224)&lt;=ROW(G88)))*G$2:G$224)</f>
        <v>23837.823458555504</v>
      </c>
      <c r="N88" s="16" cm="1">
        <f t="array" ref="N88">-SUMPRODUCT((B$2:B$224=B88)*((C$2:C$224&lt;C88)+(C$2:C$224=C88)*(ROW(I$2:I$224)&lt;=ROW(I88)))*I$2:I$224)</f>
        <v>491751</v>
      </c>
      <c r="O88" s="16">
        <f>ROUND(テーブル10[[#This Row],[為替レート]]*テーブル10[[#This Row],[元残高]],0)</f>
        <v>491774</v>
      </c>
      <c r="P88" s="27">
        <f>テーブル10[[#This Row],[円残高]]-テーブル10[[#This Row],[円残高_時価]]</f>
        <v>-23</v>
      </c>
    </row>
    <row r="89" spans="1:16" ht="18" customHeight="1" x14ac:dyDescent="0.25">
      <c r="A89" s="8" t="s">
        <v>49</v>
      </c>
      <c r="B89" s="8" t="s">
        <v>70</v>
      </c>
      <c r="C89" s="9">
        <v>45457</v>
      </c>
      <c r="D89" s="22" t="s">
        <v>4</v>
      </c>
      <c r="E89" s="8" t="s">
        <v>430</v>
      </c>
      <c r="F89" s="8" t="s">
        <v>1</v>
      </c>
      <c r="G89" s="13">
        <v>5</v>
      </c>
      <c r="H89" s="3">
        <v>20.63</v>
      </c>
      <c r="I89" s="12">
        <f>ROUND(テーブル10[[#This Row],[元金額]]*テーブル10[[#This Row],[為替レート]],0)</f>
        <v>103</v>
      </c>
      <c r="J89" s="8" t="s">
        <v>404</v>
      </c>
      <c r="K89" s="18" t="s">
        <v>14</v>
      </c>
      <c r="L89" s="8" t="s">
        <v>434</v>
      </c>
      <c r="M89" s="29" cm="1">
        <f t="array" ref="M89">-SUMPRODUCT((B$2:B$224=B89)*((C$2:C$224&lt;C89)+(C$2:C$224=C89)*(ROW(G$2:G$224)&lt;=ROW(G89)))*G$2:G$224)</f>
        <v>23832.823458555504</v>
      </c>
      <c r="N89" s="16" cm="1">
        <f t="array" ref="N89">-SUMPRODUCT((B$2:B$224=B89)*((C$2:C$224&lt;C89)+(C$2:C$224=C89)*(ROW(I$2:I$224)&lt;=ROW(I89)))*I$2:I$224)</f>
        <v>491648</v>
      </c>
      <c r="O89" s="16">
        <f>ROUND(テーブル10[[#This Row],[為替レート]]*テーブル10[[#This Row],[元残高]],0)</f>
        <v>491671</v>
      </c>
      <c r="P89" s="27">
        <f>テーブル10[[#This Row],[円残高]]-テーブル10[[#This Row],[円残高_時価]]</f>
        <v>-23</v>
      </c>
    </row>
    <row r="90" spans="1:16" ht="18" customHeight="1" x14ac:dyDescent="0.25">
      <c r="A90" s="8" t="s">
        <v>49</v>
      </c>
      <c r="B90" s="8" t="s">
        <v>70</v>
      </c>
      <c r="C90" s="9">
        <v>45457</v>
      </c>
      <c r="D90" s="22" t="s">
        <v>24</v>
      </c>
      <c r="E90" s="8"/>
      <c r="F90" s="8" t="s">
        <v>1</v>
      </c>
      <c r="G90" s="13">
        <v>45.04</v>
      </c>
      <c r="H90" s="3">
        <v>20.63</v>
      </c>
      <c r="I90" s="12">
        <f>ROUND(テーブル10[[#This Row],[元金額]]*テーブル10[[#This Row],[為替レート]],0)</f>
        <v>929</v>
      </c>
      <c r="J90" s="8" t="s">
        <v>404</v>
      </c>
      <c r="K90" s="18" t="s">
        <v>431</v>
      </c>
      <c r="L90" s="20" t="s">
        <v>440</v>
      </c>
      <c r="M90" s="29" cm="1">
        <f t="array" ref="M90">-SUMPRODUCT((B$2:B$224=B90)*((C$2:C$224&lt;C90)+(C$2:C$224=C90)*(ROW(G$2:G$224)&lt;=ROW(G90)))*G$2:G$224)</f>
        <v>23787.783458555503</v>
      </c>
      <c r="N90" s="16" cm="1">
        <f t="array" ref="N90">-SUMPRODUCT((B$2:B$224=B90)*((C$2:C$224&lt;C90)+(C$2:C$224=C90)*(ROW(I$2:I$224)&lt;=ROW(I90)))*I$2:I$224)</f>
        <v>490719</v>
      </c>
      <c r="O90" s="16">
        <f>ROUND(テーブル10[[#This Row],[為替レート]]*テーブル10[[#This Row],[元残高]],0)</f>
        <v>490742</v>
      </c>
      <c r="P90" s="27">
        <f>テーブル10[[#This Row],[円残高]]-テーブル10[[#This Row],[円残高_時価]]</f>
        <v>-23</v>
      </c>
    </row>
    <row r="91" spans="1:16" ht="18" customHeight="1" x14ac:dyDescent="0.25">
      <c r="A91" s="8" t="s">
        <v>49</v>
      </c>
      <c r="B91" s="8" t="s">
        <v>70</v>
      </c>
      <c r="C91" s="9">
        <v>45460</v>
      </c>
      <c r="D91" s="22" t="s">
        <v>4</v>
      </c>
      <c r="E91" s="8" t="s">
        <v>29</v>
      </c>
      <c r="F91" s="8" t="s">
        <v>1</v>
      </c>
      <c r="G91" s="13">
        <v>-31.5</v>
      </c>
      <c r="H91" s="3">
        <v>20.63</v>
      </c>
      <c r="I91" s="12">
        <f>ROUND(テーブル10[[#This Row],[元金額]]*テーブル10[[#This Row],[為替レート]],0)</f>
        <v>-650</v>
      </c>
      <c r="J91" s="8" t="s">
        <v>404</v>
      </c>
      <c r="K91" s="18" t="s">
        <v>14</v>
      </c>
      <c r="L91" s="8" t="s">
        <v>435</v>
      </c>
      <c r="M91" s="29" cm="1">
        <f t="array" ref="M91">-SUMPRODUCT((B$2:B$224=B91)*((C$2:C$224&lt;C91)+(C$2:C$224=C91)*(ROW(G$2:G$224)&lt;=ROW(G91)))*G$2:G$224)</f>
        <v>23819.283458555503</v>
      </c>
      <c r="N91" s="16" cm="1">
        <f t="array" ref="N91">-SUMPRODUCT((B$2:B$224=B91)*((C$2:C$224&lt;C91)+(C$2:C$224=C91)*(ROW(I$2:I$224)&lt;=ROW(I91)))*I$2:I$224)</f>
        <v>491369</v>
      </c>
      <c r="O91" s="16">
        <f>ROUND(テーブル10[[#This Row],[為替レート]]*テーブル10[[#This Row],[元残高]],0)</f>
        <v>491392</v>
      </c>
      <c r="P91" s="27">
        <f>テーブル10[[#This Row],[円残高]]-テーブル10[[#This Row],[円残高_時価]]</f>
        <v>-23</v>
      </c>
    </row>
    <row r="92" spans="1:16" ht="18" customHeight="1" x14ac:dyDescent="0.25">
      <c r="A92" s="8" t="s">
        <v>49</v>
      </c>
      <c r="B92" s="8" t="s">
        <v>70</v>
      </c>
      <c r="C92" s="9">
        <v>45484</v>
      </c>
      <c r="D92" s="22" t="s">
        <v>4</v>
      </c>
      <c r="E92" s="8" t="s">
        <v>29</v>
      </c>
      <c r="F92" s="8" t="s">
        <v>1</v>
      </c>
      <c r="G92" s="13">
        <v>1595</v>
      </c>
      <c r="H92" s="3">
        <v>20.63</v>
      </c>
      <c r="I92" s="12">
        <f>ROUND(テーブル10[[#This Row],[元金額]]*テーブル10[[#This Row],[為替レート]],0)</f>
        <v>32905</v>
      </c>
      <c r="J92" s="8" t="s">
        <v>404</v>
      </c>
      <c r="K92" s="18" t="s">
        <v>15</v>
      </c>
      <c r="L92" s="8" t="s">
        <v>436</v>
      </c>
      <c r="M92" s="29" cm="1">
        <f t="array" ref="M92">-SUMPRODUCT((B$2:B$224=B92)*((C$2:C$224&lt;C92)+(C$2:C$224=C92)*(ROW(G$2:G$224)&lt;=ROW(G92)))*G$2:G$224)</f>
        <v>22224.283458555503</v>
      </c>
      <c r="N92" s="16" cm="1">
        <f t="array" ref="N92">-SUMPRODUCT((B$2:B$224=B92)*((C$2:C$224&lt;C92)+(C$2:C$224=C92)*(ROW(I$2:I$224)&lt;=ROW(I92)))*I$2:I$224)</f>
        <v>458464</v>
      </c>
      <c r="O92" s="16">
        <f>ROUND(テーブル10[[#This Row],[為替レート]]*テーブル10[[#This Row],[元残高]],0)</f>
        <v>458487</v>
      </c>
      <c r="P92" s="27">
        <f>テーブル10[[#This Row],[円残高]]-テーブル10[[#This Row],[円残高_時価]]</f>
        <v>-23</v>
      </c>
    </row>
    <row r="93" spans="1:16" ht="18" customHeight="1" x14ac:dyDescent="0.25">
      <c r="A93" s="8" t="s">
        <v>49</v>
      </c>
      <c r="B93" s="8" t="s">
        <v>70</v>
      </c>
      <c r="C93" s="9">
        <v>45491</v>
      </c>
      <c r="D93" s="22" t="s">
        <v>4</v>
      </c>
      <c r="E93" s="8" t="s">
        <v>10</v>
      </c>
      <c r="F93" s="8" t="s">
        <v>1</v>
      </c>
      <c r="G93" s="13">
        <v>534</v>
      </c>
      <c r="H93" s="3">
        <v>20.63</v>
      </c>
      <c r="I93" s="12">
        <f>ROUND(テーブル10[[#This Row],[元金額]]*テーブル10[[#This Row],[為替レート]],0)</f>
        <v>11016</v>
      </c>
      <c r="J93" s="8" t="s">
        <v>403</v>
      </c>
      <c r="K93" s="18">
        <v>26019113411</v>
      </c>
      <c r="L93" s="30" t="s">
        <v>625</v>
      </c>
      <c r="M93" s="29" cm="1">
        <f t="array" ref="M93">-SUMPRODUCT((B$2:B$224=B93)*((C$2:C$224&lt;C93)+(C$2:C$224=C93)*(ROW(G$2:G$224)&lt;=ROW(G93)))*G$2:G$224)</f>
        <v>21690.283458555503</v>
      </c>
      <c r="N93" s="16" cm="1">
        <f t="array" ref="N93">-SUMPRODUCT((B$2:B$224=B93)*((C$2:C$224&lt;C93)+(C$2:C$224=C93)*(ROW(I$2:I$224)&lt;=ROW(I93)))*I$2:I$224)</f>
        <v>447448</v>
      </c>
      <c r="O93" s="16">
        <f>ROUND(テーブル10[[#This Row],[為替レート]]*テーブル10[[#This Row],[元残高]],0)</f>
        <v>447471</v>
      </c>
      <c r="P93" s="27">
        <f>テーブル10[[#This Row],[円残高]]-テーブル10[[#This Row],[円残高_時価]]</f>
        <v>-23</v>
      </c>
    </row>
    <row r="94" spans="1:16" ht="18" customHeight="1" x14ac:dyDescent="0.25">
      <c r="A94" s="8" t="s">
        <v>49</v>
      </c>
      <c r="B94" s="8" t="s">
        <v>70</v>
      </c>
      <c r="C94" s="9">
        <v>45491</v>
      </c>
      <c r="D94" s="22" t="s">
        <v>4</v>
      </c>
      <c r="E94" s="8" t="s">
        <v>10</v>
      </c>
      <c r="F94" s="8" t="s">
        <v>1</v>
      </c>
      <c r="G94" s="13">
        <v>52</v>
      </c>
      <c r="H94" s="3">
        <v>20.63</v>
      </c>
      <c r="I94" s="12">
        <f>ROUND(テーブル10[[#This Row],[元金額]]*テーブル10[[#This Row],[為替レート]],0)</f>
        <v>1073</v>
      </c>
      <c r="J94" s="8" t="s">
        <v>403</v>
      </c>
      <c r="K94" s="18">
        <v>26019113595</v>
      </c>
      <c r="L94" s="31" t="s">
        <v>626</v>
      </c>
      <c r="M94" s="29" cm="1">
        <f t="array" ref="M94">-SUMPRODUCT((B$2:B$224=B94)*((C$2:C$224&lt;C94)+(C$2:C$224=C94)*(ROW(G$2:G$224)&lt;=ROW(G94)))*G$2:G$224)</f>
        <v>21638.283458555503</v>
      </c>
      <c r="N94" s="16" cm="1">
        <f t="array" ref="N94">-SUMPRODUCT((B$2:B$224=B94)*((C$2:C$224&lt;C94)+(C$2:C$224=C94)*(ROW(I$2:I$224)&lt;=ROW(I94)))*I$2:I$224)</f>
        <v>446375</v>
      </c>
      <c r="O94" s="16">
        <f>ROUND(テーブル10[[#This Row],[為替レート]]*テーブル10[[#This Row],[元残高]],0)</f>
        <v>446398</v>
      </c>
      <c r="P94" s="27">
        <f>テーブル10[[#This Row],[円残高]]-テーブル10[[#This Row],[円残高_時価]]</f>
        <v>-23</v>
      </c>
    </row>
    <row r="95" spans="1:16" ht="18" customHeight="1" x14ac:dyDescent="0.25">
      <c r="A95" s="8" t="s">
        <v>49</v>
      </c>
      <c r="B95" s="8" t="s">
        <v>70</v>
      </c>
      <c r="C95" s="9">
        <v>45491</v>
      </c>
      <c r="D95" s="22" t="s">
        <v>24</v>
      </c>
      <c r="E95" s="8"/>
      <c r="F95" s="8" t="s">
        <v>1</v>
      </c>
      <c r="G95" s="13">
        <v>389.95</v>
      </c>
      <c r="H95" s="3">
        <v>20.63</v>
      </c>
      <c r="I95" s="12">
        <f>ROUND(テーブル10[[#This Row],[元金額]]*テーブル10[[#This Row],[為替レート]],0)</f>
        <v>8045</v>
      </c>
      <c r="J95" s="8" t="s">
        <v>403</v>
      </c>
      <c r="K95" s="18">
        <v>26019113595</v>
      </c>
      <c r="L95" s="8" t="s">
        <v>437</v>
      </c>
      <c r="M95" s="29" cm="1">
        <f t="array" ref="M95">-SUMPRODUCT((B$2:B$224=B95)*((C$2:C$224&lt;C95)+(C$2:C$224=C95)*(ROW(G$2:G$224)&lt;=ROW(G95)))*G$2:G$224)</f>
        <v>21248.333458555502</v>
      </c>
      <c r="N95" s="16" cm="1">
        <f t="array" ref="N95">-SUMPRODUCT((B$2:B$224=B95)*((C$2:C$224&lt;C95)+(C$2:C$224=C95)*(ROW(I$2:I$224)&lt;=ROW(I95)))*I$2:I$224)</f>
        <v>438330</v>
      </c>
      <c r="O95" s="16">
        <f>ROUND(テーブル10[[#This Row],[為替レート]]*テーブル10[[#This Row],[元残高]],0)</f>
        <v>438353</v>
      </c>
      <c r="P95" s="27">
        <f>テーブル10[[#This Row],[円残高]]-テーブル10[[#This Row],[円残高_時価]]</f>
        <v>-23</v>
      </c>
    </row>
    <row r="96" spans="1:16" ht="18" customHeight="1" x14ac:dyDescent="0.25">
      <c r="A96" s="8" t="s">
        <v>49</v>
      </c>
      <c r="B96" s="8" t="s">
        <v>70</v>
      </c>
      <c r="C96" s="9">
        <v>45504</v>
      </c>
      <c r="D96" s="22" t="s">
        <v>4</v>
      </c>
      <c r="E96" s="8" t="s">
        <v>29</v>
      </c>
      <c r="F96" s="8" t="s">
        <v>1</v>
      </c>
      <c r="G96" s="13">
        <v>280</v>
      </c>
      <c r="H96" s="3">
        <v>20.63</v>
      </c>
      <c r="I96" s="12">
        <f>ROUND(テーブル10[[#This Row],[元金額]]*テーブル10[[#This Row],[為替レート]],0)</f>
        <v>5776</v>
      </c>
      <c r="J96" s="8" t="s">
        <v>404</v>
      </c>
      <c r="K96" s="18" t="s">
        <v>16</v>
      </c>
      <c r="L96" s="8" t="s">
        <v>441</v>
      </c>
      <c r="M96" s="29" cm="1">
        <f t="array" ref="M96">-SUMPRODUCT((B$2:B$224=B96)*((C$2:C$224&lt;C96)+(C$2:C$224=C96)*(ROW(G$2:G$224)&lt;=ROW(G96)))*G$2:G$224)</f>
        <v>20968.333458555502</v>
      </c>
      <c r="N96" s="16" cm="1">
        <f t="array" ref="N96">-SUMPRODUCT((B$2:B$224=B96)*((C$2:C$224&lt;C96)+(C$2:C$224=C96)*(ROW(I$2:I$224)&lt;=ROW(I96)))*I$2:I$224)</f>
        <v>432554</v>
      </c>
      <c r="O96" s="16">
        <f>ROUND(テーブル10[[#This Row],[為替レート]]*テーブル10[[#This Row],[元残高]],0)</f>
        <v>432577</v>
      </c>
      <c r="P96" s="27">
        <f>テーブル10[[#This Row],[円残高]]-テーブル10[[#This Row],[円残高_時価]]</f>
        <v>-23</v>
      </c>
    </row>
    <row r="97" spans="1:16" ht="18" customHeight="1" x14ac:dyDescent="0.5">
      <c r="A97" s="8" t="s">
        <v>49</v>
      </c>
      <c r="B97" s="8" t="s">
        <v>70</v>
      </c>
      <c r="C97" s="9">
        <v>45504</v>
      </c>
      <c r="D97" s="22" t="s">
        <v>4</v>
      </c>
      <c r="E97" s="8" t="s">
        <v>29</v>
      </c>
      <c r="F97" s="8" t="s">
        <v>1</v>
      </c>
      <c r="G97" s="13">
        <v>3185</v>
      </c>
      <c r="H97" s="3">
        <v>20.63</v>
      </c>
      <c r="I97" s="12">
        <f>ROUND(テーブル10[[#This Row],[元金額]]*テーブル10[[#This Row],[為替レート]],0)</f>
        <v>65707</v>
      </c>
      <c r="J97" s="8" t="s">
        <v>404</v>
      </c>
      <c r="K97" s="18" t="s">
        <v>17</v>
      </c>
      <c r="L97" s="20" t="s">
        <v>623</v>
      </c>
      <c r="M97" s="29" cm="1">
        <f t="array" ref="M97">-SUMPRODUCT((B$2:B$224=B97)*((C$2:C$224&lt;C97)+(C$2:C$224=C97)*(ROW(G$2:G$224)&lt;=ROW(G97)))*G$2:G$224)</f>
        <v>17783.333458555502</v>
      </c>
      <c r="N97" s="16" cm="1">
        <f t="array" ref="N97">-SUMPRODUCT((B$2:B$224=B97)*((C$2:C$224&lt;C97)+(C$2:C$224=C97)*(ROW(I$2:I$224)&lt;=ROW(I97)))*I$2:I$224)</f>
        <v>366847</v>
      </c>
      <c r="O97" s="16">
        <f>ROUND(テーブル10[[#This Row],[為替レート]]*テーブル10[[#This Row],[元残高]],0)</f>
        <v>366870</v>
      </c>
      <c r="P97" s="27">
        <f>テーブル10[[#This Row],[円残高]]-テーブル10[[#This Row],[円残高_時価]]</f>
        <v>-23</v>
      </c>
    </row>
    <row r="98" spans="1:16" ht="18" customHeight="1" x14ac:dyDescent="0.25">
      <c r="A98" s="8" t="s">
        <v>49</v>
      </c>
      <c r="B98" s="8" t="s">
        <v>70</v>
      </c>
      <c r="C98" s="9">
        <v>45505</v>
      </c>
      <c r="D98" s="22" t="s">
        <v>4</v>
      </c>
      <c r="E98" s="8" t="s">
        <v>430</v>
      </c>
      <c r="F98" s="8" t="s">
        <v>1</v>
      </c>
      <c r="G98" s="13">
        <v>425</v>
      </c>
      <c r="H98" s="3">
        <v>20.63</v>
      </c>
      <c r="I98" s="12">
        <f>ROUND(テーブル10[[#This Row],[元金額]]*テーブル10[[#This Row],[為替レート]],0)</f>
        <v>8768</v>
      </c>
      <c r="J98" s="8" t="s">
        <v>404</v>
      </c>
      <c r="K98" s="18" t="s">
        <v>15</v>
      </c>
      <c r="L98" s="20" t="s">
        <v>621</v>
      </c>
      <c r="M98" s="29" cm="1">
        <f t="array" ref="M98">-SUMPRODUCT((B$2:B$224=B98)*((C$2:C$224&lt;C98)+(C$2:C$224=C98)*(ROW(G$2:G$224)&lt;=ROW(G98)))*G$2:G$224)</f>
        <v>17358.333458555502</v>
      </c>
      <c r="N98" s="16" cm="1">
        <f t="array" ref="N98">-SUMPRODUCT((B$2:B$224=B98)*((C$2:C$224&lt;C98)+(C$2:C$224=C98)*(ROW(I$2:I$224)&lt;=ROW(I98)))*I$2:I$224)</f>
        <v>358079</v>
      </c>
      <c r="O98" s="16">
        <f>ROUND(テーブル10[[#This Row],[為替レート]]*テーブル10[[#This Row],[元残高]],0)</f>
        <v>358102</v>
      </c>
      <c r="P98" s="27">
        <f>テーブル10[[#This Row],[円残高]]-テーブル10[[#This Row],[円残高_時価]]</f>
        <v>-23</v>
      </c>
    </row>
    <row r="99" spans="1:16" ht="18" customHeight="1" x14ac:dyDescent="0.25">
      <c r="A99" s="8" t="s">
        <v>49</v>
      </c>
      <c r="B99" s="8" t="s">
        <v>70</v>
      </c>
      <c r="C99" s="9">
        <v>45510</v>
      </c>
      <c r="D99" s="22" t="s">
        <v>4</v>
      </c>
      <c r="E99" s="8" t="s">
        <v>69</v>
      </c>
      <c r="F99" s="8" t="s">
        <v>1</v>
      </c>
      <c r="G99" s="13">
        <v>8</v>
      </c>
      <c r="H99" s="3">
        <v>20.63</v>
      </c>
      <c r="I99" s="12">
        <f>ROUND(テーブル10[[#This Row],[元金額]]*テーブル10[[#This Row],[為替レート]],0)</f>
        <v>165</v>
      </c>
      <c r="J99" s="8" t="s">
        <v>404</v>
      </c>
      <c r="K99" s="18" t="s">
        <v>17</v>
      </c>
      <c r="L99" s="20" t="s">
        <v>622</v>
      </c>
      <c r="M99" s="29" cm="1">
        <f t="array" ref="M99">-SUMPRODUCT((B$2:B$224=B99)*((C$2:C$224&lt;C99)+(C$2:C$224=C99)*(ROW(G$2:G$224)&lt;=ROW(G99)))*G$2:G$224)</f>
        <v>17350.333458555502</v>
      </c>
      <c r="N99" s="16" cm="1">
        <f t="array" ref="N99">-SUMPRODUCT((B$2:B$224=B99)*((C$2:C$224&lt;C99)+(C$2:C$224=C99)*(ROW(I$2:I$224)&lt;=ROW(I99)))*I$2:I$224)</f>
        <v>357914</v>
      </c>
      <c r="O99" s="16">
        <f>ROUND(テーブル10[[#This Row],[為替レート]]*テーブル10[[#This Row],[元残高]],0)</f>
        <v>357937</v>
      </c>
      <c r="P99" s="27">
        <f>テーブル10[[#This Row],[円残高]]-テーブル10[[#This Row],[円残高_時価]]</f>
        <v>-23</v>
      </c>
    </row>
    <row r="100" spans="1:16" ht="18" customHeight="1" x14ac:dyDescent="0.25">
      <c r="A100" s="8" t="s">
        <v>49</v>
      </c>
      <c r="B100" s="8" t="s">
        <v>70</v>
      </c>
      <c r="C100" s="9">
        <v>45518</v>
      </c>
      <c r="D100" s="22" t="s">
        <v>4</v>
      </c>
      <c r="E100" s="8" t="s">
        <v>430</v>
      </c>
      <c r="F100" s="8" t="s">
        <v>1</v>
      </c>
      <c r="G100" s="13">
        <v>25</v>
      </c>
      <c r="H100" s="3">
        <v>20.63</v>
      </c>
      <c r="I100" s="12">
        <f>ROUND(テーブル10[[#This Row],[元金額]]*テーブル10[[#This Row],[為替レート]],0)</f>
        <v>516</v>
      </c>
      <c r="J100" s="8" t="s">
        <v>404</v>
      </c>
      <c r="K100" s="18" t="s">
        <v>17</v>
      </c>
      <c r="L100" s="20" t="s">
        <v>624</v>
      </c>
      <c r="M100" s="29" cm="1">
        <f t="array" ref="M100">-SUMPRODUCT((B$2:B$224=B100)*((C$2:C$224&lt;C100)+(C$2:C$224=C100)*(ROW(G$2:G$224)&lt;=ROW(G100)))*G$2:G$224)</f>
        <v>17325.333458555502</v>
      </c>
      <c r="N100" s="16" cm="1">
        <f t="array" ref="N100">-SUMPRODUCT((B$2:B$224=B100)*((C$2:C$224&lt;C100)+(C$2:C$224=C100)*(ROW(I$2:I$224)&lt;=ROW(I100)))*I$2:I$224)</f>
        <v>357398</v>
      </c>
      <c r="O100" s="16">
        <f>ROUND(テーブル10[[#This Row],[為替レート]]*テーブル10[[#This Row],[元残高]],0)</f>
        <v>357422</v>
      </c>
      <c r="P100" s="27">
        <f>テーブル10[[#This Row],[円残高]]-テーブル10[[#This Row],[円残高_時価]]</f>
        <v>-24</v>
      </c>
    </row>
    <row r="101" spans="1:16" ht="18" customHeight="1" x14ac:dyDescent="0.25">
      <c r="A101" s="8" t="s">
        <v>49</v>
      </c>
      <c r="B101" s="8" t="s">
        <v>70</v>
      </c>
      <c r="C101" s="9">
        <v>45519</v>
      </c>
      <c r="D101" s="22" t="s">
        <v>4</v>
      </c>
      <c r="E101" s="8" t="s">
        <v>430</v>
      </c>
      <c r="F101" s="8" t="s">
        <v>1</v>
      </c>
      <c r="G101" s="13">
        <v>225</v>
      </c>
      <c r="H101" s="3">
        <v>20.63</v>
      </c>
      <c r="I101" s="12">
        <f>ROUND(テーブル10[[#This Row],[元金額]]*テーブル10[[#This Row],[為替レート]],0)</f>
        <v>4642</v>
      </c>
      <c r="J101" s="8" t="s">
        <v>404</v>
      </c>
      <c r="K101" s="18" t="s">
        <v>17</v>
      </c>
      <c r="L101" s="8" t="s">
        <v>442</v>
      </c>
      <c r="M101" s="29" cm="1">
        <f t="array" ref="M101">-SUMPRODUCT((B$2:B$224=B101)*((C$2:C$224&lt;C101)+(C$2:C$224=C101)*(ROW(G$2:G$224)&lt;=ROW(G101)))*G$2:G$224)</f>
        <v>17100.333458555502</v>
      </c>
      <c r="N101" s="16" cm="1">
        <f t="array" ref="N101">-SUMPRODUCT((B$2:B$224=B101)*((C$2:C$224&lt;C101)+(C$2:C$224=C101)*(ROW(I$2:I$224)&lt;=ROW(I101)))*I$2:I$224)</f>
        <v>352756</v>
      </c>
      <c r="O101" s="16">
        <f>ROUND(テーブル10[[#This Row],[為替レート]]*テーブル10[[#This Row],[元残高]],0)</f>
        <v>352780</v>
      </c>
      <c r="P101" s="27">
        <f>テーブル10[[#This Row],[円残高]]-テーブル10[[#This Row],[円残高_時価]]</f>
        <v>-24</v>
      </c>
    </row>
    <row r="102" spans="1:16" ht="18" customHeight="1" x14ac:dyDescent="0.25">
      <c r="A102" s="8" t="s">
        <v>49</v>
      </c>
      <c r="B102" s="8" t="s">
        <v>70</v>
      </c>
      <c r="C102" s="9">
        <v>45520</v>
      </c>
      <c r="D102" s="22" t="s">
        <v>4</v>
      </c>
      <c r="E102" s="8" t="s">
        <v>430</v>
      </c>
      <c r="F102" s="8" t="s">
        <v>1</v>
      </c>
      <c r="G102" s="13">
        <v>225</v>
      </c>
      <c r="H102" s="3">
        <v>20.63</v>
      </c>
      <c r="I102" s="12">
        <f>ROUND(テーブル10[[#This Row],[元金額]]*テーブル10[[#This Row],[為替レート]],0)</f>
        <v>4642</v>
      </c>
      <c r="J102" s="8" t="s">
        <v>404</v>
      </c>
      <c r="K102" s="18" t="s">
        <v>17</v>
      </c>
      <c r="L102" s="8" t="s">
        <v>442</v>
      </c>
      <c r="M102" s="29" cm="1">
        <f t="array" ref="M102">-SUMPRODUCT((B$2:B$224=B102)*((C$2:C$224&lt;C102)+(C$2:C$224=C102)*(ROW(G$2:G$224)&lt;=ROW(G102)))*G$2:G$224)</f>
        <v>16875.333458555502</v>
      </c>
      <c r="N102" s="16" cm="1">
        <f t="array" ref="N102">-SUMPRODUCT((B$2:B$224=B102)*((C$2:C$224&lt;C102)+(C$2:C$224=C102)*(ROW(I$2:I$224)&lt;=ROW(I102)))*I$2:I$224)</f>
        <v>348114</v>
      </c>
      <c r="O102" s="16">
        <f>ROUND(テーブル10[[#This Row],[為替レート]]*テーブル10[[#This Row],[元残高]],0)</f>
        <v>348138</v>
      </c>
      <c r="P102" s="27">
        <f>テーブル10[[#This Row],[円残高]]-テーブル10[[#This Row],[円残高_時価]]</f>
        <v>-24</v>
      </c>
    </row>
    <row r="103" spans="1:16" ht="18" customHeight="1" x14ac:dyDescent="0.25">
      <c r="A103" s="8" t="s">
        <v>49</v>
      </c>
      <c r="B103" s="8" t="s">
        <v>70</v>
      </c>
      <c r="C103" s="9">
        <v>45523</v>
      </c>
      <c r="D103" s="22" t="s">
        <v>4</v>
      </c>
      <c r="E103" s="8" t="s">
        <v>430</v>
      </c>
      <c r="F103" s="8" t="s">
        <v>1</v>
      </c>
      <c r="G103" s="13">
        <v>225</v>
      </c>
      <c r="H103" s="3">
        <v>20.63</v>
      </c>
      <c r="I103" s="12">
        <f>ROUND(テーブル10[[#This Row],[元金額]]*テーブル10[[#This Row],[為替レート]],0)</f>
        <v>4642</v>
      </c>
      <c r="J103" s="8" t="s">
        <v>404</v>
      </c>
      <c r="K103" s="18" t="s">
        <v>17</v>
      </c>
      <c r="L103" s="8" t="s">
        <v>443</v>
      </c>
      <c r="M103" s="29" cm="1">
        <f t="array" ref="M103">-SUMPRODUCT((B$2:B$224=B103)*((C$2:C$224&lt;C103)+(C$2:C$224=C103)*(ROW(G$2:G$224)&lt;=ROW(G103)))*G$2:G$224)</f>
        <v>16650.333458555502</v>
      </c>
      <c r="N103" s="16" cm="1">
        <f t="array" ref="N103">-SUMPRODUCT((B$2:B$224=B103)*((C$2:C$224&lt;C103)+(C$2:C$224=C103)*(ROW(I$2:I$224)&lt;=ROW(I103)))*I$2:I$224)</f>
        <v>343472</v>
      </c>
      <c r="O103" s="16">
        <f>ROUND(テーブル10[[#This Row],[為替レート]]*テーブル10[[#This Row],[元残高]],0)</f>
        <v>343496</v>
      </c>
      <c r="P103" s="27">
        <f>テーブル10[[#This Row],[円残高]]-テーブル10[[#This Row],[円残高_時価]]</f>
        <v>-24</v>
      </c>
    </row>
    <row r="104" spans="1:16" ht="18" customHeight="1" x14ac:dyDescent="0.25">
      <c r="A104" s="8" t="s">
        <v>49</v>
      </c>
      <c r="B104" s="8" t="s">
        <v>70</v>
      </c>
      <c r="C104" s="9">
        <v>45527</v>
      </c>
      <c r="D104" s="22" t="s">
        <v>358</v>
      </c>
      <c r="E104" s="8"/>
      <c r="F104" s="8" t="s">
        <v>1</v>
      </c>
      <c r="G104" s="13">
        <v>216</v>
      </c>
      <c r="H104" s="3">
        <v>20.63</v>
      </c>
      <c r="I104" s="12">
        <f>ROUND(テーブル10[[#This Row],[元金額]]*テーブル10[[#This Row],[為替レート]],0)</f>
        <v>4456</v>
      </c>
      <c r="J104" s="8"/>
      <c r="K104" s="18"/>
      <c r="L104" s="8" t="s">
        <v>444</v>
      </c>
      <c r="M104" s="29" cm="1">
        <f t="array" ref="M104">-SUMPRODUCT((B$2:B$224=B104)*((C$2:C$224&lt;C104)+(C$2:C$224=C104)*(ROW(G$2:G$224)&lt;=ROW(G104)))*G$2:G$224)</f>
        <v>16434.333458555502</v>
      </c>
      <c r="N104" s="16" cm="1">
        <f t="array" ref="N104">-SUMPRODUCT((B$2:B$224=B104)*((C$2:C$224&lt;C104)+(C$2:C$224=C104)*(ROW(I$2:I$224)&lt;=ROW(I104)))*I$2:I$224)</f>
        <v>339016</v>
      </c>
      <c r="O104" s="16">
        <f>ROUND(テーブル10[[#This Row],[為替レート]]*テーブル10[[#This Row],[元残高]],0)</f>
        <v>339040</v>
      </c>
      <c r="P104" s="27">
        <f>テーブル10[[#This Row],[円残高]]-テーブル10[[#This Row],[円残高_時価]]</f>
        <v>-24</v>
      </c>
    </row>
    <row r="105" spans="1:16" ht="18" customHeight="1" x14ac:dyDescent="0.25">
      <c r="A105" s="8" t="s">
        <v>49</v>
      </c>
      <c r="B105" s="8" t="s">
        <v>70</v>
      </c>
      <c r="C105" s="9">
        <v>45530</v>
      </c>
      <c r="D105" s="22" t="s">
        <v>4</v>
      </c>
      <c r="E105" s="8" t="s">
        <v>29</v>
      </c>
      <c r="F105" s="8" t="s">
        <v>1</v>
      </c>
      <c r="G105" s="13">
        <v>6080</v>
      </c>
      <c r="H105" s="3">
        <v>20.63</v>
      </c>
      <c r="I105" s="12">
        <f>ROUND(テーブル10[[#This Row],[元金額]]*テーブル10[[#This Row],[為替レート]],0)</f>
        <v>125430</v>
      </c>
      <c r="J105" s="8" t="s">
        <v>404</v>
      </c>
      <c r="K105" s="18" t="s">
        <v>18</v>
      </c>
      <c r="L105" s="8" t="s">
        <v>446</v>
      </c>
      <c r="M105" s="29" cm="1">
        <f t="array" ref="M105">-SUMPRODUCT((B$2:B$224=B105)*((C$2:C$224&lt;C105)+(C$2:C$224=C105)*(ROW(G$2:G$224)&lt;=ROW(G105)))*G$2:G$224)</f>
        <v>10354.333458555502</v>
      </c>
      <c r="N105" s="16" cm="1">
        <f t="array" ref="N105">-SUMPRODUCT((B$2:B$224=B105)*((C$2:C$224&lt;C105)+(C$2:C$224=C105)*(ROW(I$2:I$224)&lt;=ROW(I105)))*I$2:I$224)</f>
        <v>213586</v>
      </c>
      <c r="O105" s="16">
        <f>ROUND(テーブル10[[#This Row],[為替レート]]*テーブル10[[#This Row],[元残高]],0)</f>
        <v>213610</v>
      </c>
      <c r="P105" s="27">
        <f>テーブル10[[#This Row],[円残高]]-テーブル10[[#This Row],[円残高_時価]]</f>
        <v>-24</v>
      </c>
    </row>
    <row r="106" spans="1:16" ht="18" customHeight="1" x14ac:dyDescent="0.25">
      <c r="A106" s="8" t="s">
        <v>49</v>
      </c>
      <c r="B106" s="8" t="s">
        <v>70</v>
      </c>
      <c r="C106" s="9">
        <v>45531</v>
      </c>
      <c r="D106" s="22" t="s">
        <v>4</v>
      </c>
      <c r="E106" s="8" t="s">
        <v>69</v>
      </c>
      <c r="F106" s="8" t="s">
        <v>1</v>
      </c>
      <c r="G106" s="13">
        <v>18</v>
      </c>
      <c r="H106" s="3">
        <v>20.63</v>
      </c>
      <c r="I106" s="12">
        <f>ROUND(テーブル10[[#This Row],[元金額]]*テーブル10[[#This Row],[為替レート]],0)</f>
        <v>371</v>
      </c>
      <c r="J106" s="8" t="s">
        <v>404</v>
      </c>
      <c r="K106" s="18" t="s">
        <v>11</v>
      </c>
      <c r="L106" s="20" t="s">
        <v>461</v>
      </c>
      <c r="M106" s="29" cm="1">
        <f t="array" ref="M106">-SUMPRODUCT((B$2:B$224=B106)*((C$2:C$224&lt;C106)+(C$2:C$224=C106)*(ROW(G$2:G$224)&lt;=ROW(G106)))*G$2:G$224)</f>
        <v>10336.333458555502</v>
      </c>
      <c r="N106" s="16" cm="1">
        <f t="array" ref="N106">-SUMPRODUCT((B$2:B$224=B106)*((C$2:C$224&lt;C106)+(C$2:C$224=C106)*(ROW(I$2:I$224)&lt;=ROW(I106)))*I$2:I$224)</f>
        <v>213215</v>
      </c>
      <c r="O106" s="16">
        <f>ROUND(テーブル10[[#This Row],[為替レート]]*テーブル10[[#This Row],[元残高]],0)</f>
        <v>213239</v>
      </c>
      <c r="P106" s="27">
        <f>テーブル10[[#This Row],[円残高]]-テーブル10[[#This Row],[円残高_時価]]</f>
        <v>-24</v>
      </c>
    </row>
    <row r="107" spans="1:16" ht="18" customHeight="1" x14ac:dyDescent="0.25">
      <c r="A107" s="8" t="s">
        <v>49</v>
      </c>
      <c r="B107" s="8" t="s">
        <v>70</v>
      </c>
      <c r="C107" s="9">
        <v>45532</v>
      </c>
      <c r="D107" s="22" t="s">
        <v>358</v>
      </c>
      <c r="E107" s="8"/>
      <c r="F107" s="8" t="s">
        <v>1</v>
      </c>
      <c r="G107" s="13">
        <v>24</v>
      </c>
      <c r="H107" s="3">
        <v>20.63</v>
      </c>
      <c r="I107" s="12">
        <f>ROUND(テーブル10[[#This Row],[元金額]]*テーブル10[[#This Row],[為替レート]],0)</f>
        <v>495</v>
      </c>
      <c r="J107" s="8"/>
      <c r="K107" s="18"/>
      <c r="L107" s="8" t="s">
        <v>445</v>
      </c>
      <c r="M107" s="29" cm="1">
        <f t="array" ref="M107">-SUMPRODUCT((B$2:B$224=B107)*((C$2:C$224&lt;C107)+(C$2:C$224=C107)*(ROW(G$2:G$224)&lt;=ROW(G107)))*G$2:G$224)</f>
        <v>10312.333458555502</v>
      </c>
      <c r="N107" s="16" cm="1">
        <f t="array" ref="N107">-SUMPRODUCT((B$2:B$224=B107)*((C$2:C$224&lt;C107)+(C$2:C$224=C107)*(ROW(I$2:I$224)&lt;=ROW(I107)))*I$2:I$224)</f>
        <v>212720</v>
      </c>
      <c r="O107" s="16">
        <f>ROUND(テーブル10[[#This Row],[為替レート]]*テーブル10[[#This Row],[元残高]],0)</f>
        <v>212743</v>
      </c>
      <c r="P107" s="27">
        <f>テーブル10[[#This Row],[円残高]]-テーブル10[[#This Row],[円残高_時価]]</f>
        <v>-23</v>
      </c>
    </row>
    <row r="108" spans="1:16" ht="18" customHeight="1" x14ac:dyDescent="0.25">
      <c r="A108" s="8" t="s">
        <v>49</v>
      </c>
      <c r="B108" s="8" t="s">
        <v>70</v>
      </c>
      <c r="C108" s="9">
        <v>45548</v>
      </c>
      <c r="D108" s="22" t="s">
        <v>4</v>
      </c>
      <c r="E108" s="8" t="s">
        <v>430</v>
      </c>
      <c r="F108" s="8" t="s">
        <v>1</v>
      </c>
      <c r="G108" s="13">
        <v>150</v>
      </c>
      <c r="H108" s="3">
        <v>21.9</v>
      </c>
      <c r="I108" s="12">
        <f>ROUND(テーブル10[[#This Row],[元金額]]*テーブル10[[#This Row],[為替レート]],0)</f>
        <v>3285</v>
      </c>
      <c r="J108" s="8" t="s">
        <v>404</v>
      </c>
      <c r="K108" s="18" t="s">
        <v>18</v>
      </c>
      <c r="L108" s="20" t="s">
        <v>620</v>
      </c>
      <c r="M108" s="29" cm="1">
        <f t="array" ref="M108">-SUMPRODUCT((B$2:B$224=B108)*((C$2:C$224&lt;C108)+(C$2:C$224=C108)*(ROW(G$2:G$224)&lt;=ROW(G108)))*G$2:G$224)</f>
        <v>10162.333458555502</v>
      </c>
      <c r="N108" s="16" cm="1">
        <f t="array" ref="N108">-SUMPRODUCT((B$2:B$224=B108)*((C$2:C$224&lt;C108)+(C$2:C$224=C108)*(ROW(I$2:I$224)&lt;=ROW(I108)))*I$2:I$224)</f>
        <v>209435</v>
      </c>
      <c r="O108" s="16">
        <f>ROUND(テーブル10[[#This Row],[為替レート]]*テーブル10[[#This Row],[元残高]],0)</f>
        <v>222555</v>
      </c>
      <c r="P108" s="27">
        <f>テーブル10[[#This Row],[円残高]]-テーブル10[[#This Row],[円残高_時価]]</f>
        <v>-13120</v>
      </c>
    </row>
    <row r="109" spans="1:16" ht="18" customHeight="1" x14ac:dyDescent="0.25">
      <c r="A109" s="8" t="s">
        <v>49</v>
      </c>
      <c r="B109" s="8" t="s">
        <v>70</v>
      </c>
      <c r="C109" s="9">
        <v>45553</v>
      </c>
      <c r="D109" s="22" t="s">
        <v>4</v>
      </c>
      <c r="E109" s="8" t="s">
        <v>430</v>
      </c>
      <c r="F109" s="8" t="s">
        <v>1</v>
      </c>
      <c r="G109" s="13">
        <v>900</v>
      </c>
      <c r="H109" s="3">
        <v>20.63</v>
      </c>
      <c r="I109" s="12">
        <f>ROUND(テーブル10[[#This Row],[元金額]]*テーブル10[[#This Row],[為替レート]],0)</f>
        <v>18567</v>
      </c>
      <c r="J109" s="8" t="s">
        <v>404</v>
      </c>
      <c r="K109" s="18" t="s">
        <v>18</v>
      </c>
      <c r="L109" s="8" t="s">
        <v>447</v>
      </c>
      <c r="M109" s="29" cm="1">
        <f t="array" ref="M109">-SUMPRODUCT((B$2:B$224=B109)*((C$2:C$224&lt;C109)+(C$2:C$224=C109)*(ROW(G$2:G$224)&lt;=ROW(G109)))*G$2:G$224)</f>
        <v>9262.3334585555021</v>
      </c>
      <c r="N109" s="16" cm="1">
        <f t="array" ref="N109">-SUMPRODUCT((B$2:B$224=B109)*((C$2:C$224&lt;C109)+(C$2:C$224=C109)*(ROW(I$2:I$224)&lt;=ROW(I109)))*I$2:I$224)</f>
        <v>190868</v>
      </c>
      <c r="O109" s="16">
        <f>ROUND(テーブル10[[#This Row],[為替レート]]*テーブル10[[#This Row],[元残高]],0)</f>
        <v>191082</v>
      </c>
      <c r="P109" s="27">
        <f>テーブル10[[#This Row],[円残高]]-テーブル10[[#This Row],[円残高_時価]]</f>
        <v>-214</v>
      </c>
    </row>
    <row r="110" spans="1:16" ht="18" customHeight="1" x14ac:dyDescent="0.25">
      <c r="A110" s="8" t="s">
        <v>49</v>
      </c>
      <c r="B110" s="8" t="s">
        <v>70</v>
      </c>
      <c r="C110" s="9">
        <v>45560</v>
      </c>
      <c r="D110" s="22" t="s">
        <v>4</v>
      </c>
      <c r="E110" s="8" t="s">
        <v>29</v>
      </c>
      <c r="F110" s="8" t="s">
        <v>1</v>
      </c>
      <c r="G110" s="13">
        <v>12120</v>
      </c>
      <c r="H110" s="3">
        <v>20.63</v>
      </c>
      <c r="I110" s="12">
        <f>ROUND(テーブル10[[#This Row],[元金額]]*テーブル10[[#This Row],[為替レート]],0)</f>
        <v>250036</v>
      </c>
      <c r="J110" s="8" t="s">
        <v>404</v>
      </c>
      <c r="K110" s="18" t="s">
        <v>19</v>
      </c>
      <c r="L110" s="8" t="s">
        <v>448</v>
      </c>
      <c r="M110" s="29" cm="1">
        <f t="array" ref="M110">-SUMPRODUCT((B$2:B$224=B110)*((C$2:C$224&lt;C110)+(C$2:C$224=C110)*(ROW(G$2:G$224)&lt;=ROW(G110)))*G$2:G$224)</f>
        <v>-2857.6665414444979</v>
      </c>
      <c r="N110" s="16" cm="1">
        <f t="array" ref="N110">-SUMPRODUCT((B$2:B$224=B110)*((C$2:C$224&lt;C110)+(C$2:C$224=C110)*(ROW(I$2:I$224)&lt;=ROW(I110)))*I$2:I$224)</f>
        <v>-59168</v>
      </c>
      <c r="O110" s="16">
        <f>ROUND(テーブル10[[#This Row],[為替レート]]*テーブル10[[#This Row],[元残高]],0)</f>
        <v>-58954</v>
      </c>
      <c r="P110" s="27">
        <f>テーブル10[[#This Row],[円残高]]-テーブル10[[#This Row],[円残高_時価]]</f>
        <v>-214</v>
      </c>
    </row>
    <row r="111" spans="1:16" ht="18" customHeight="1" x14ac:dyDescent="0.25">
      <c r="A111" s="8" t="s">
        <v>49</v>
      </c>
      <c r="B111" s="8" t="s">
        <v>70</v>
      </c>
      <c r="C111" s="9">
        <v>45560</v>
      </c>
      <c r="D111" s="22" t="s">
        <v>4</v>
      </c>
      <c r="E111" s="8" t="s">
        <v>10</v>
      </c>
      <c r="F111" s="8" t="s">
        <v>1</v>
      </c>
      <c r="G111" s="13">
        <v>380</v>
      </c>
      <c r="H111" s="3">
        <v>20.63</v>
      </c>
      <c r="I111" s="12">
        <f>ROUND(テーブル10[[#This Row],[元金額]]*テーブル10[[#This Row],[為替レート]],0)</f>
        <v>7839</v>
      </c>
      <c r="J111" s="8" t="s">
        <v>403</v>
      </c>
      <c r="K111" s="18">
        <v>26019114575</v>
      </c>
      <c r="L111" s="30" t="s">
        <v>627</v>
      </c>
      <c r="M111" s="29" cm="1">
        <f t="array" ref="M111">-SUMPRODUCT((B$2:B$224=B111)*((C$2:C$224&lt;C111)+(C$2:C$224=C111)*(ROW(G$2:G$224)&lt;=ROW(G111)))*G$2:G$224)</f>
        <v>-3237.6665414444979</v>
      </c>
      <c r="N111" s="16" cm="1">
        <f t="array" ref="N111">-SUMPRODUCT((B$2:B$224=B111)*((C$2:C$224&lt;C111)+(C$2:C$224=C111)*(ROW(I$2:I$224)&lt;=ROW(I111)))*I$2:I$224)</f>
        <v>-67007</v>
      </c>
      <c r="O111" s="16">
        <f>ROUND(テーブル10[[#This Row],[為替レート]]*テーブル10[[#This Row],[元残高]],0)</f>
        <v>-66793</v>
      </c>
      <c r="P111" s="27">
        <f>テーブル10[[#This Row],[円残高]]-テーブル10[[#This Row],[円残高_時価]]</f>
        <v>-214</v>
      </c>
    </row>
    <row r="112" spans="1:16" ht="18" customHeight="1" x14ac:dyDescent="0.25">
      <c r="A112" s="8" t="s">
        <v>49</v>
      </c>
      <c r="B112" s="8" t="s">
        <v>70</v>
      </c>
      <c r="C112" s="9">
        <v>45560</v>
      </c>
      <c r="D112" s="22" t="s">
        <v>4</v>
      </c>
      <c r="E112" s="8" t="s">
        <v>10</v>
      </c>
      <c r="F112" s="8" t="s">
        <v>1</v>
      </c>
      <c r="G112" s="13">
        <v>568.6</v>
      </c>
      <c r="H112" s="3">
        <v>20.63</v>
      </c>
      <c r="I112" s="12">
        <f>ROUND(テーブル10[[#This Row],[元金額]]*テーブル10[[#This Row],[為替レート]],0)</f>
        <v>11730</v>
      </c>
      <c r="J112" s="8" t="s">
        <v>403</v>
      </c>
      <c r="K112" s="18">
        <v>26019114811</v>
      </c>
      <c r="L112" s="30" t="s">
        <v>628</v>
      </c>
      <c r="M112" s="29" cm="1">
        <f t="array" ref="M112">-SUMPRODUCT((B$2:B$224=B112)*((C$2:C$224&lt;C112)+(C$2:C$224=C112)*(ROW(G$2:G$224)&lt;=ROW(G112)))*G$2:G$224)</f>
        <v>-3806.2665414444978</v>
      </c>
      <c r="N112" s="16" cm="1">
        <f t="array" ref="N112">-SUMPRODUCT((B$2:B$224=B112)*((C$2:C$224&lt;C112)+(C$2:C$224=C112)*(ROW(I$2:I$224)&lt;=ROW(I112)))*I$2:I$224)</f>
        <v>-78737</v>
      </c>
      <c r="O112" s="16">
        <f>ROUND(テーブル10[[#This Row],[為替レート]]*テーブル10[[#This Row],[元残高]],0)</f>
        <v>-78523</v>
      </c>
      <c r="P112" s="27">
        <f>テーブル10[[#This Row],[円残高]]-テーブル10[[#This Row],[円残高_時価]]</f>
        <v>-214</v>
      </c>
    </row>
    <row r="113" spans="1:16" ht="18" customHeight="1" x14ac:dyDescent="0.25">
      <c r="A113" s="8" t="s">
        <v>49</v>
      </c>
      <c r="B113" s="8" t="s">
        <v>70</v>
      </c>
      <c r="C113" s="9">
        <v>45561</v>
      </c>
      <c r="D113" s="22" t="s">
        <v>87</v>
      </c>
      <c r="E113" s="8"/>
      <c r="F113" s="10" t="s">
        <v>1</v>
      </c>
      <c r="G113" s="13">
        <f>-200000/21.9</f>
        <v>-9132.4200913242021</v>
      </c>
      <c r="H113" s="3">
        <v>21.9</v>
      </c>
      <c r="I113" s="12">
        <f>ROUND(テーブル10[[#This Row],[元金額]]*テーブル10[[#This Row],[為替レート]],0)</f>
        <v>-200000</v>
      </c>
      <c r="J113" s="8"/>
      <c r="K113" s="18"/>
      <c r="L113" s="8" t="s">
        <v>573</v>
      </c>
      <c r="M113" s="29" cm="1">
        <f t="array" ref="M113">-SUMPRODUCT((B$2:B$224=B113)*((C$2:C$224&lt;C113)+(C$2:C$224=C113)*(ROW(G$2:G$224)&lt;=ROW(G113)))*G$2:G$224)</f>
        <v>5326.1535498797039</v>
      </c>
      <c r="N113" s="16" cm="1">
        <f t="array" ref="N113">-SUMPRODUCT((B$2:B$224=B113)*((C$2:C$224&lt;C113)+(C$2:C$224=C113)*(ROW(I$2:I$224)&lt;=ROW(I113)))*I$2:I$224)</f>
        <v>121263</v>
      </c>
      <c r="O113" s="16">
        <f>ROUND(テーブル10[[#This Row],[為替レート]]*テーブル10[[#This Row],[元残高]],0)</f>
        <v>116643</v>
      </c>
      <c r="P113" s="27">
        <f>テーブル10[[#This Row],[円残高]]-テーブル10[[#This Row],[円残高_時価]]</f>
        <v>4620</v>
      </c>
    </row>
    <row r="114" spans="1:16" ht="18" customHeight="1" x14ac:dyDescent="0.25">
      <c r="A114" s="8" t="s">
        <v>49</v>
      </c>
      <c r="B114" s="8" t="s">
        <v>70</v>
      </c>
      <c r="C114" s="9">
        <v>45561</v>
      </c>
      <c r="D114" s="24" t="s">
        <v>63</v>
      </c>
      <c r="E114" s="8"/>
      <c r="F114" s="10" t="s">
        <v>1</v>
      </c>
      <c r="G114" s="13">
        <f>-G113*0.02</f>
        <v>182.64840182648405</v>
      </c>
      <c r="H114" s="3">
        <v>21.9</v>
      </c>
      <c r="I114" s="12">
        <f>ROUND(テーブル10[[#This Row],[元金額]]*テーブル10[[#This Row],[為替レート]],0)</f>
        <v>4000</v>
      </c>
      <c r="J114" s="21"/>
      <c r="K114" s="18"/>
      <c r="L114" s="8" t="s">
        <v>574</v>
      </c>
      <c r="M114" s="29" cm="1">
        <f t="array" ref="M114">-SUMPRODUCT((B$2:B$224=B114)*((C$2:C$224&lt;C114)+(C$2:C$224=C114)*(ROW(G$2:G$224)&lt;=ROW(G114)))*G$2:G$224)</f>
        <v>5143.5051480532202</v>
      </c>
      <c r="N114" s="16" cm="1">
        <f t="array" ref="N114">-SUMPRODUCT((B$2:B$224=B114)*((C$2:C$224&lt;C114)+(C$2:C$224=C114)*(ROW(I$2:I$224)&lt;=ROW(I114)))*I$2:I$224)</f>
        <v>117263</v>
      </c>
      <c r="O114" s="16">
        <f>ROUND(テーブル10[[#This Row],[為替レート]]*テーブル10[[#This Row],[元残高]],0)</f>
        <v>112643</v>
      </c>
      <c r="P114" s="27">
        <f>テーブル10[[#This Row],[円残高]]-テーブル10[[#This Row],[円残高_時価]]</f>
        <v>4620</v>
      </c>
    </row>
    <row r="115" spans="1:16" ht="18" customHeight="1" x14ac:dyDescent="0.25">
      <c r="A115" s="8" t="s">
        <v>49</v>
      </c>
      <c r="B115" s="8" t="s">
        <v>70</v>
      </c>
      <c r="C115" s="9">
        <v>45562</v>
      </c>
      <c r="D115" s="22" t="s">
        <v>4</v>
      </c>
      <c r="E115" s="8" t="s">
        <v>29</v>
      </c>
      <c r="F115" s="8" t="s">
        <v>1</v>
      </c>
      <c r="G115" s="13">
        <v>280</v>
      </c>
      <c r="H115" s="3">
        <v>21.9</v>
      </c>
      <c r="I115" s="12">
        <f>ROUND(テーブル10[[#This Row],[元金額]]*テーブル10[[#This Row],[為替レート]],0)</f>
        <v>6132</v>
      </c>
      <c r="J115" s="8" t="s">
        <v>404</v>
      </c>
      <c r="K115" s="18" t="s">
        <v>20</v>
      </c>
      <c r="L115" s="20" t="s">
        <v>460</v>
      </c>
      <c r="M115" s="29" cm="1">
        <f t="array" ref="M115">-SUMPRODUCT((B$2:B$224=B115)*((C$2:C$224&lt;C115)+(C$2:C$224=C115)*(ROW(G$2:G$224)&lt;=ROW(G115)))*G$2:G$224)</f>
        <v>4863.5051480532202</v>
      </c>
      <c r="N115" s="16" cm="1">
        <f t="array" ref="N115">-SUMPRODUCT((B$2:B$224=B115)*((C$2:C$224&lt;C115)+(C$2:C$224=C115)*(ROW(I$2:I$224)&lt;=ROW(I115)))*I$2:I$224)</f>
        <v>111131</v>
      </c>
      <c r="O115" s="16">
        <f>ROUND(テーブル10[[#This Row],[為替レート]]*テーブル10[[#This Row],[元残高]],0)</f>
        <v>106511</v>
      </c>
      <c r="P115" s="27">
        <f>テーブル10[[#This Row],[円残高]]-テーブル10[[#This Row],[円残高_時価]]</f>
        <v>4620</v>
      </c>
    </row>
    <row r="116" spans="1:16" ht="18" customHeight="1" x14ac:dyDescent="0.25">
      <c r="A116" s="8" t="s">
        <v>49</v>
      </c>
      <c r="B116" s="8" t="s">
        <v>70</v>
      </c>
      <c r="C116" s="9">
        <v>45562</v>
      </c>
      <c r="D116" s="22" t="s">
        <v>24</v>
      </c>
      <c r="E116" s="8"/>
      <c r="F116" s="8" t="s">
        <v>1</v>
      </c>
      <c r="G116" s="13">
        <v>227</v>
      </c>
      <c r="H116" s="3">
        <v>21.9</v>
      </c>
      <c r="I116" s="12">
        <f>ROUND(テーブル10[[#This Row],[元金額]]*テーブル10[[#This Row],[為替レート]],0)</f>
        <v>4971</v>
      </c>
      <c r="J116" s="8" t="s">
        <v>404</v>
      </c>
      <c r="K116" s="18" t="s">
        <v>451</v>
      </c>
      <c r="L116" s="8" t="s">
        <v>452</v>
      </c>
      <c r="M116" s="29" cm="1">
        <f t="array" ref="M116">-SUMPRODUCT((B$2:B$224=B116)*((C$2:C$224&lt;C116)+(C$2:C$224=C116)*(ROW(G$2:G$224)&lt;=ROW(G116)))*G$2:G$224)</f>
        <v>4636.5051480532202</v>
      </c>
      <c r="N116" s="16" cm="1">
        <f t="array" ref="N116">-SUMPRODUCT((B$2:B$224=B116)*((C$2:C$224&lt;C116)+(C$2:C$224=C116)*(ROW(I$2:I$224)&lt;=ROW(I116)))*I$2:I$224)</f>
        <v>106160</v>
      </c>
      <c r="O116" s="16">
        <f>ROUND(テーブル10[[#This Row],[為替レート]]*テーブル10[[#This Row],[元残高]],0)</f>
        <v>101539</v>
      </c>
      <c r="P116" s="27">
        <f>テーブル10[[#This Row],[円残高]]-テーブル10[[#This Row],[円残高_時価]]</f>
        <v>4621</v>
      </c>
    </row>
    <row r="117" spans="1:16" ht="18" customHeight="1" x14ac:dyDescent="0.25">
      <c r="A117" s="8" t="s">
        <v>49</v>
      </c>
      <c r="B117" s="8" t="s">
        <v>70</v>
      </c>
      <c r="C117" s="9">
        <v>45562</v>
      </c>
      <c r="D117" s="37" t="s">
        <v>290</v>
      </c>
      <c r="E117" s="36"/>
      <c r="F117" s="8" t="s">
        <v>1</v>
      </c>
      <c r="G117" s="13"/>
      <c r="H117" s="3">
        <v>21.9</v>
      </c>
      <c r="I117" s="38">
        <v>-1</v>
      </c>
      <c r="J117" s="39"/>
      <c r="K117" s="40"/>
      <c r="L117" s="41" t="s">
        <v>632</v>
      </c>
      <c r="M117" s="16" cm="1">
        <f t="array" ref="M117">-SUMPRODUCT((B$2:B$224=B117)*((C$2:C$224&lt;C117)+(C$2:C$224=C117)*(ROW(G$2:G$224)&lt;=ROW(G117)))*G$2:G$224)</f>
        <v>4636.5051480532202</v>
      </c>
      <c r="N117" s="16" cm="1">
        <f t="array" ref="N117">-SUMPRODUCT((B$2:B$224=B117)*((C$2:C$224&lt;C117)+(C$2:C$224=C117)*(ROW(I$2:I$224)&lt;=ROW(I117)))*I$2:I$224)</f>
        <v>106161</v>
      </c>
      <c r="O117" s="42">
        <f>ROUND(テーブル10[[#This Row],[為替レート]]*テーブル10[[#This Row],[元残高]],0)</f>
        <v>101539</v>
      </c>
      <c r="P117" s="43">
        <f>テーブル10[[#This Row],[円残高]]-テーブル10[[#This Row],[円残高_時価]]</f>
        <v>4622</v>
      </c>
    </row>
    <row r="118" spans="1:16" ht="18" customHeight="1" x14ac:dyDescent="0.25">
      <c r="A118" s="8" t="s">
        <v>49</v>
      </c>
      <c r="B118" s="8" t="s">
        <v>70</v>
      </c>
      <c r="C118" s="9">
        <v>45581</v>
      </c>
      <c r="D118" s="22" t="s">
        <v>4</v>
      </c>
      <c r="E118" s="8" t="s">
        <v>10</v>
      </c>
      <c r="F118" s="8" t="s">
        <v>1</v>
      </c>
      <c r="G118" s="13">
        <v>601.20000000000005</v>
      </c>
      <c r="H118" s="3">
        <v>21.9</v>
      </c>
      <c r="I118" s="12">
        <f>ROUND(テーブル10[[#This Row],[元金額]]*テーブル10[[#This Row],[為替レート]],0)</f>
        <v>13166</v>
      </c>
      <c r="J118" s="8" t="s">
        <v>403</v>
      </c>
      <c r="K118" s="18">
        <v>26020203580</v>
      </c>
      <c r="L118" s="30" t="s">
        <v>629</v>
      </c>
      <c r="M118" s="29" cm="1">
        <f t="array" ref="M118">-SUMPRODUCT((B$2:B$224=B118)*((C$2:C$224&lt;C118)+(C$2:C$224=C118)*(ROW(G$2:G$224)&lt;=ROW(G118)))*G$2:G$224)</f>
        <v>4035.3051480532204</v>
      </c>
      <c r="N118" s="16" cm="1">
        <f t="array" ref="N118">-SUMPRODUCT((B$2:B$224=B118)*((C$2:C$224&lt;C118)+(C$2:C$224=C118)*(ROW(I$2:I$224)&lt;=ROW(I118)))*I$2:I$224)</f>
        <v>92995</v>
      </c>
      <c r="O118" s="16">
        <f>ROUND(テーブル10[[#This Row],[為替レート]]*テーブル10[[#This Row],[元残高]],0)</f>
        <v>88373</v>
      </c>
      <c r="P118" s="27">
        <f>テーブル10[[#This Row],[円残高]]-テーブル10[[#This Row],[円残高_時価]]</f>
        <v>4622</v>
      </c>
    </row>
    <row r="119" spans="1:16" ht="18" customHeight="1" x14ac:dyDescent="0.25">
      <c r="A119" s="8" t="s">
        <v>49</v>
      </c>
      <c r="B119" s="8" t="s">
        <v>70</v>
      </c>
      <c r="C119" s="9">
        <v>45593</v>
      </c>
      <c r="D119" s="22" t="s">
        <v>4</v>
      </c>
      <c r="E119" s="8" t="s">
        <v>430</v>
      </c>
      <c r="F119" s="8" t="s">
        <v>1</v>
      </c>
      <c r="G119" s="13">
        <v>150</v>
      </c>
      <c r="H119" s="3">
        <v>21.9</v>
      </c>
      <c r="I119" s="12">
        <f>ROUND(テーブル10[[#This Row],[元金額]]*テーブル10[[#This Row],[為替レート]],0)</f>
        <v>3285</v>
      </c>
      <c r="J119" s="8" t="s">
        <v>404</v>
      </c>
      <c r="K119" s="18" t="s">
        <v>19</v>
      </c>
      <c r="L119" s="8" t="s">
        <v>453</v>
      </c>
      <c r="M119" s="29" cm="1">
        <f t="array" ref="M119">-SUMPRODUCT((B$2:B$224=B119)*((C$2:C$224&lt;C119)+(C$2:C$224=C119)*(ROW(G$2:G$224)&lt;=ROW(G119)))*G$2:G$224)</f>
        <v>3885.3051480532204</v>
      </c>
      <c r="N119" s="16" cm="1">
        <f t="array" ref="N119">-SUMPRODUCT((B$2:B$224=B119)*((C$2:C$224&lt;C119)+(C$2:C$224=C119)*(ROW(I$2:I$224)&lt;=ROW(I119)))*I$2:I$224)</f>
        <v>89710</v>
      </c>
      <c r="O119" s="16">
        <f>ROUND(テーブル10[[#This Row],[為替レート]]*テーブル10[[#This Row],[元残高]],0)</f>
        <v>85088</v>
      </c>
      <c r="P119" s="27">
        <f>テーブル10[[#This Row],[円残高]]-テーブル10[[#This Row],[円残高_時価]]</f>
        <v>4622</v>
      </c>
    </row>
    <row r="120" spans="1:16" ht="18" customHeight="1" x14ac:dyDescent="0.25">
      <c r="A120" s="8" t="s">
        <v>49</v>
      </c>
      <c r="B120" s="8" t="s">
        <v>70</v>
      </c>
      <c r="C120" s="9">
        <v>45594</v>
      </c>
      <c r="D120" s="22" t="s">
        <v>4</v>
      </c>
      <c r="E120" s="8" t="s">
        <v>430</v>
      </c>
      <c r="F120" s="8" t="s">
        <v>1</v>
      </c>
      <c r="G120" s="13">
        <v>475</v>
      </c>
      <c r="H120" s="3">
        <v>21.9</v>
      </c>
      <c r="I120" s="12">
        <f>ROUND(テーブル10[[#This Row],[元金額]]*テーブル10[[#This Row],[為替レート]],0)</f>
        <v>10403</v>
      </c>
      <c r="J120" s="8" t="s">
        <v>404</v>
      </c>
      <c r="K120" s="18" t="s">
        <v>19</v>
      </c>
      <c r="L120" s="8" t="s">
        <v>454</v>
      </c>
      <c r="M120" s="29" cm="1">
        <f t="array" ref="M120">-SUMPRODUCT((B$2:B$224=B120)*((C$2:C$224&lt;C120)+(C$2:C$224=C120)*(ROW(G$2:G$224)&lt;=ROW(G120)))*G$2:G$224)</f>
        <v>3410.3051480532204</v>
      </c>
      <c r="N120" s="16" cm="1">
        <f t="array" ref="N120">-SUMPRODUCT((B$2:B$224=B120)*((C$2:C$224&lt;C120)+(C$2:C$224=C120)*(ROW(I$2:I$224)&lt;=ROW(I120)))*I$2:I$224)</f>
        <v>79307</v>
      </c>
      <c r="O120" s="16">
        <f>ROUND(テーブル10[[#This Row],[為替レート]]*テーブル10[[#This Row],[元残高]],0)</f>
        <v>74686</v>
      </c>
      <c r="P120" s="27">
        <f>テーブル10[[#This Row],[円残高]]-テーブル10[[#This Row],[円残高_時価]]</f>
        <v>4621</v>
      </c>
    </row>
    <row r="121" spans="1:16" ht="18" customHeight="1" x14ac:dyDescent="0.25">
      <c r="A121" s="8" t="s">
        <v>49</v>
      </c>
      <c r="B121" s="8" t="s">
        <v>70</v>
      </c>
      <c r="C121" s="9">
        <v>45595</v>
      </c>
      <c r="D121" s="22" t="s">
        <v>4</v>
      </c>
      <c r="E121" s="8" t="s">
        <v>430</v>
      </c>
      <c r="F121" s="8" t="s">
        <v>1</v>
      </c>
      <c r="G121" s="13">
        <v>450</v>
      </c>
      <c r="H121" s="3">
        <v>21.9</v>
      </c>
      <c r="I121" s="12">
        <f>ROUND(テーブル10[[#This Row],[元金額]]*テーブル10[[#This Row],[為替レート]],0)</f>
        <v>9855</v>
      </c>
      <c r="J121" s="8" t="s">
        <v>404</v>
      </c>
      <c r="K121" s="18" t="s">
        <v>19</v>
      </c>
      <c r="L121" s="8" t="s">
        <v>455</v>
      </c>
      <c r="M121" s="29" cm="1">
        <f t="array" ref="M121">-SUMPRODUCT((B$2:B$224=B121)*((C$2:C$224&lt;C121)+(C$2:C$224=C121)*(ROW(G$2:G$224)&lt;=ROW(G121)))*G$2:G$224)</f>
        <v>2960.3051480532204</v>
      </c>
      <c r="N121" s="16" cm="1">
        <f t="array" ref="N121">-SUMPRODUCT((B$2:B$224=B121)*((C$2:C$224&lt;C121)+(C$2:C$224=C121)*(ROW(I$2:I$224)&lt;=ROW(I121)))*I$2:I$224)</f>
        <v>69452</v>
      </c>
      <c r="O121" s="16">
        <f>ROUND(テーブル10[[#This Row],[為替レート]]*テーブル10[[#This Row],[元残高]],0)</f>
        <v>64831</v>
      </c>
      <c r="P121" s="27">
        <f>テーブル10[[#This Row],[円残高]]-テーブル10[[#This Row],[円残高_時価]]</f>
        <v>4621</v>
      </c>
    </row>
    <row r="122" spans="1:16" ht="18" customHeight="1" x14ac:dyDescent="0.25">
      <c r="A122" s="8" t="s">
        <v>49</v>
      </c>
      <c r="B122" s="8" t="s">
        <v>70</v>
      </c>
      <c r="C122" s="9">
        <v>45596</v>
      </c>
      <c r="D122" s="22" t="s">
        <v>4</v>
      </c>
      <c r="E122" s="8" t="s">
        <v>430</v>
      </c>
      <c r="F122" s="8" t="s">
        <v>1</v>
      </c>
      <c r="G122" s="13">
        <v>225</v>
      </c>
      <c r="H122" s="3">
        <v>21.9</v>
      </c>
      <c r="I122" s="12">
        <f>ROUND(テーブル10[[#This Row],[元金額]]*テーブル10[[#This Row],[為替レート]],0)</f>
        <v>4928</v>
      </c>
      <c r="J122" s="8" t="s">
        <v>404</v>
      </c>
      <c r="K122" s="18" t="s">
        <v>19</v>
      </c>
      <c r="L122" s="8" t="s">
        <v>456</v>
      </c>
      <c r="M122" s="29" cm="1">
        <f t="array" ref="M122">-SUMPRODUCT((B$2:B$224=B122)*((C$2:C$224&lt;C122)+(C$2:C$224=C122)*(ROW(G$2:G$224)&lt;=ROW(G122)))*G$2:G$224)</f>
        <v>2735.3051480532204</v>
      </c>
      <c r="N122" s="16" cm="1">
        <f t="array" ref="N122">-SUMPRODUCT((B$2:B$224=B122)*((C$2:C$224&lt;C122)+(C$2:C$224=C122)*(ROW(I$2:I$224)&lt;=ROW(I122)))*I$2:I$224)</f>
        <v>64524</v>
      </c>
      <c r="O122" s="16">
        <f>ROUND(テーブル10[[#This Row],[為替レート]]*テーブル10[[#This Row],[元残高]],0)</f>
        <v>59903</v>
      </c>
      <c r="P122" s="27">
        <f>テーブル10[[#This Row],[円残高]]-テーブル10[[#This Row],[円残高_時価]]</f>
        <v>4621</v>
      </c>
    </row>
    <row r="123" spans="1:16" ht="18" customHeight="1" x14ac:dyDescent="0.25">
      <c r="A123" s="8" t="s">
        <v>49</v>
      </c>
      <c r="B123" s="8" t="s">
        <v>70</v>
      </c>
      <c r="C123" s="9">
        <v>45597</v>
      </c>
      <c r="D123" s="22" t="s">
        <v>4</v>
      </c>
      <c r="E123" s="8" t="s">
        <v>430</v>
      </c>
      <c r="F123" s="8" t="s">
        <v>1</v>
      </c>
      <c r="G123" s="13">
        <v>25</v>
      </c>
      <c r="H123" s="3">
        <v>21.9</v>
      </c>
      <c r="I123" s="12">
        <f>ROUND(テーブル10[[#This Row],[元金額]]*テーブル10[[#This Row],[為替レート]],0)</f>
        <v>548</v>
      </c>
      <c r="J123" s="8" t="s">
        <v>404</v>
      </c>
      <c r="K123" s="18" t="s">
        <v>19</v>
      </c>
      <c r="L123" s="8" t="s">
        <v>457</v>
      </c>
      <c r="M123" s="29" cm="1">
        <f t="array" ref="M123">-SUMPRODUCT((B$2:B$224=B123)*((C$2:C$224&lt;C123)+(C$2:C$224=C123)*(ROW(G$2:G$224)&lt;=ROW(G123)))*G$2:G$224)</f>
        <v>2710.3051480532204</v>
      </c>
      <c r="N123" s="16" cm="1">
        <f t="array" ref="N123">-SUMPRODUCT((B$2:B$224=B123)*((C$2:C$224&lt;C123)+(C$2:C$224=C123)*(ROW(I$2:I$224)&lt;=ROW(I123)))*I$2:I$224)</f>
        <v>63976</v>
      </c>
      <c r="O123" s="16">
        <f>ROUND(テーブル10[[#This Row],[為替レート]]*テーブル10[[#This Row],[元残高]],0)</f>
        <v>59356</v>
      </c>
      <c r="P123" s="27">
        <f>テーブル10[[#This Row],[円残高]]-テーブル10[[#This Row],[円残高_時価]]</f>
        <v>4620</v>
      </c>
    </row>
    <row r="124" spans="1:16" ht="18" customHeight="1" x14ac:dyDescent="0.25">
      <c r="A124" s="8" t="s">
        <v>49</v>
      </c>
      <c r="B124" s="8" t="s">
        <v>70</v>
      </c>
      <c r="C124" s="9">
        <v>45615</v>
      </c>
      <c r="D124" s="22" t="s">
        <v>4</v>
      </c>
      <c r="E124" s="8" t="s">
        <v>69</v>
      </c>
      <c r="F124" s="8" t="s">
        <v>1</v>
      </c>
      <c r="G124" s="13">
        <v>23</v>
      </c>
      <c r="H124" s="3">
        <v>21.9</v>
      </c>
      <c r="I124" s="12">
        <f>ROUND(テーブル10[[#This Row],[元金額]]*テーブル10[[#This Row],[為替レート]],0)</f>
        <v>504</v>
      </c>
      <c r="J124" s="8" t="s">
        <v>404</v>
      </c>
      <c r="K124" s="18" t="s">
        <v>19</v>
      </c>
      <c r="L124" s="8" t="s">
        <v>458</v>
      </c>
      <c r="M124" s="29" cm="1">
        <f t="array" ref="M124">-SUMPRODUCT((B$2:B$224=B124)*((C$2:C$224&lt;C124)+(C$2:C$224=C124)*(ROW(G$2:G$224)&lt;=ROW(G124)))*G$2:G$224)</f>
        <v>2687.3051480532204</v>
      </c>
      <c r="N124" s="16" cm="1">
        <f t="array" ref="N124">-SUMPRODUCT((B$2:B$224=B124)*((C$2:C$224&lt;C124)+(C$2:C$224=C124)*(ROW(I$2:I$224)&lt;=ROW(I124)))*I$2:I$224)</f>
        <v>63472</v>
      </c>
      <c r="O124" s="16">
        <f>ROUND(テーブル10[[#This Row],[為替レート]]*テーブル10[[#This Row],[元残高]],0)</f>
        <v>58852</v>
      </c>
      <c r="P124" s="27">
        <f>テーブル10[[#This Row],[円残高]]-テーブル10[[#This Row],[円残高_時価]]</f>
        <v>4620</v>
      </c>
    </row>
    <row r="125" spans="1:16" ht="18" customHeight="1" x14ac:dyDescent="0.25">
      <c r="A125" s="8" t="s">
        <v>49</v>
      </c>
      <c r="B125" s="8" t="s">
        <v>70</v>
      </c>
      <c r="C125" s="9">
        <v>45616</v>
      </c>
      <c r="D125" s="22" t="s">
        <v>24</v>
      </c>
      <c r="E125" s="8"/>
      <c r="F125" s="8" t="s">
        <v>1</v>
      </c>
      <c r="G125" s="13">
        <v>235</v>
      </c>
      <c r="H125" s="3">
        <v>21.9</v>
      </c>
      <c r="I125" s="12">
        <f>ROUND(テーブル10[[#This Row],[元金額]]*テーブル10[[#This Row],[為替レート]],0)</f>
        <v>5147</v>
      </c>
      <c r="J125" s="8" t="s">
        <v>403</v>
      </c>
      <c r="K125" s="18" t="s">
        <v>466</v>
      </c>
      <c r="L125" s="8" t="s">
        <v>459</v>
      </c>
      <c r="M125" s="29" cm="1">
        <f t="array" ref="M125">-SUMPRODUCT((B$2:B$224=B125)*((C$2:C$224&lt;C125)+(C$2:C$224=C125)*(ROW(G$2:G$224)&lt;=ROW(G125)))*G$2:G$224)</f>
        <v>2452.3051480532204</v>
      </c>
      <c r="N125" s="16" cm="1">
        <f t="array" ref="N125">-SUMPRODUCT((B$2:B$224=B125)*((C$2:C$224&lt;C125)+(C$2:C$224=C125)*(ROW(I$2:I$224)&lt;=ROW(I125)))*I$2:I$224)</f>
        <v>58325</v>
      </c>
      <c r="O125" s="16">
        <f>ROUND(テーブル10[[#This Row],[為替レート]]*テーブル10[[#This Row],[元残高]],0)</f>
        <v>53705</v>
      </c>
      <c r="P125" s="27">
        <f>テーブル10[[#This Row],[円残高]]-テーブル10[[#This Row],[円残高_時価]]</f>
        <v>4620</v>
      </c>
    </row>
    <row r="126" spans="1:16" ht="18" customHeight="1" x14ac:dyDescent="0.25">
      <c r="A126" s="8" t="s">
        <v>49</v>
      </c>
      <c r="B126" s="8" t="s">
        <v>70</v>
      </c>
      <c r="C126" s="9">
        <v>45617</v>
      </c>
      <c r="D126" s="22" t="s">
        <v>4</v>
      </c>
      <c r="E126" s="8" t="s">
        <v>29</v>
      </c>
      <c r="F126" s="8" t="s">
        <v>1</v>
      </c>
      <c r="G126" s="13">
        <v>6070</v>
      </c>
      <c r="H126" s="3">
        <v>21.9</v>
      </c>
      <c r="I126" s="12">
        <f>ROUND(テーブル10[[#This Row],[元金額]]*テーブル10[[#This Row],[為替レート]],0)</f>
        <v>132933</v>
      </c>
      <c r="J126" s="8" t="s">
        <v>404</v>
      </c>
      <c r="K126" s="18" t="s">
        <v>23</v>
      </c>
      <c r="L126" s="20" t="s">
        <v>463</v>
      </c>
      <c r="M126" s="29" cm="1">
        <f t="array" ref="M126">-SUMPRODUCT((B$2:B$224=B126)*((C$2:C$224&lt;C126)+(C$2:C$224=C126)*(ROW(G$2:G$224)&lt;=ROW(G126)))*G$2:G$224)</f>
        <v>-3617.6948519467796</v>
      </c>
      <c r="N126" s="16" cm="1">
        <f t="array" ref="N126">-SUMPRODUCT((B$2:B$224=B126)*((C$2:C$224&lt;C126)+(C$2:C$224=C126)*(ROW(I$2:I$224)&lt;=ROW(I126)))*I$2:I$224)</f>
        <v>-74608</v>
      </c>
      <c r="O126" s="16">
        <f>ROUND(テーブル10[[#This Row],[為替レート]]*テーブル10[[#This Row],[元残高]],0)</f>
        <v>-79228</v>
      </c>
      <c r="P126" s="27">
        <f>テーブル10[[#This Row],[円残高]]-テーブル10[[#This Row],[円残高_時価]]</f>
        <v>4620</v>
      </c>
    </row>
    <row r="127" spans="1:16" ht="18" customHeight="1" x14ac:dyDescent="0.25">
      <c r="A127" s="8" t="s">
        <v>49</v>
      </c>
      <c r="B127" s="8" t="s">
        <v>70</v>
      </c>
      <c r="C127" s="9">
        <v>45623</v>
      </c>
      <c r="D127" s="22" t="s">
        <v>87</v>
      </c>
      <c r="E127" s="8"/>
      <c r="F127" s="10" t="s">
        <v>1</v>
      </c>
      <c r="G127" s="13">
        <f>-300000/22.37</f>
        <v>-13410.818059901654</v>
      </c>
      <c r="H127" s="3">
        <v>22.37</v>
      </c>
      <c r="I127" s="12">
        <f>ROUND(テーブル10[[#This Row],[元金額]]*テーブル10[[#This Row],[為替レート]],0)</f>
        <v>-300000</v>
      </c>
      <c r="J127" s="8"/>
      <c r="K127" s="18"/>
      <c r="L127" s="8" t="s">
        <v>575</v>
      </c>
      <c r="M127" s="29" cm="1">
        <f t="array" ref="M127">-SUMPRODUCT((B$2:B$224=B127)*((C$2:C$224&lt;C127)+(C$2:C$224=C127)*(ROW(G$2:G$224)&lt;=ROW(G127)))*G$2:G$224)</f>
        <v>9793.1232079548754</v>
      </c>
      <c r="N127" s="16" cm="1">
        <f t="array" ref="N127">-SUMPRODUCT((B$2:B$224=B127)*((C$2:C$224&lt;C127)+(C$2:C$224=C127)*(ROW(I$2:I$224)&lt;=ROW(I127)))*I$2:I$224)</f>
        <v>225392</v>
      </c>
      <c r="O127" s="16">
        <f>ROUND(テーブル10[[#This Row],[為替レート]]*テーブル10[[#This Row],[元残高]],0)</f>
        <v>219072</v>
      </c>
      <c r="P127" s="27">
        <f>テーブル10[[#This Row],[円残高]]-テーブル10[[#This Row],[円残高_時価]]</f>
        <v>6320</v>
      </c>
    </row>
    <row r="128" spans="1:16" ht="18" customHeight="1" x14ac:dyDescent="0.25">
      <c r="A128" s="8" t="s">
        <v>49</v>
      </c>
      <c r="B128" s="8" t="s">
        <v>70</v>
      </c>
      <c r="C128" s="9">
        <v>45623</v>
      </c>
      <c r="D128" s="24" t="s">
        <v>63</v>
      </c>
      <c r="E128" s="8"/>
      <c r="F128" s="10" t="s">
        <v>1</v>
      </c>
      <c r="G128" s="13">
        <f>-G127*0.02</f>
        <v>268.2163611980331</v>
      </c>
      <c r="H128" s="3">
        <v>22.37</v>
      </c>
      <c r="I128" s="12">
        <f>ROUND(テーブル10[[#This Row],[元金額]]*テーブル10[[#This Row],[為替レート]],0)</f>
        <v>6000</v>
      </c>
      <c r="J128" s="21"/>
      <c r="K128" s="18"/>
      <c r="L128" s="8" t="s">
        <v>576</v>
      </c>
      <c r="M128" s="29" cm="1">
        <f t="array" ref="M128">-SUMPRODUCT((B$2:B$224=B128)*((C$2:C$224&lt;C128)+(C$2:C$224=C128)*(ROW(G$2:G$224)&lt;=ROW(G128)))*G$2:G$224)</f>
        <v>9524.9068467568432</v>
      </c>
      <c r="N128" s="16" cm="1">
        <f t="array" ref="N128">-SUMPRODUCT((B$2:B$224=B128)*((C$2:C$224&lt;C128)+(C$2:C$224=C128)*(ROW(I$2:I$224)&lt;=ROW(I128)))*I$2:I$224)</f>
        <v>219392</v>
      </c>
      <c r="O128" s="16">
        <f>ROUND(テーブル10[[#This Row],[為替レート]]*テーブル10[[#This Row],[元残高]],0)</f>
        <v>213072</v>
      </c>
      <c r="P128" s="27">
        <f>テーブル10[[#This Row],[円残高]]-テーブル10[[#This Row],[円残高_時価]]</f>
        <v>6320</v>
      </c>
    </row>
    <row r="129" spans="1:16" ht="18" customHeight="1" x14ac:dyDescent="0.25">
      <c r="A129" s="8" t="s">
        <v>49</v>
      </c>
      <c r="B129" s="8" t="s">
        <v>70</v>
      </c>
      <c r="C129" s="9">
        <v>45624</v>
      </c>
      <c r="D129" s="22" t="s">
        <v>4</v>
      </c>
      <c r="E129" s="8" t="s">
        <v>69</v>
      </c>
      <c r="F129" s="8" t="s">
        <v>1</v>
      </c>
      <c r="G129" s="13">
        <v>18</v>
      </c>
      <c r="H129" s="3">
        <v>22.37</v>
      </c>
      <c r="I129" s="12">
        <f>ROUND(テーブル10[[#This Row],[元金額]]*テーブル10[[#This Row],[為替レート]],0)</f>
        <v>403</v>
      </c>
      <c r="J129" s="8" t="s">
        <v>404</v>
      </c>
      <c r="K129" s="18" t="s">
        <v>20</v>
      </c>
      <c r="L129" s="8" t="s">
        <v>462</v>
      </c>
      <c r="M129" s="29" cm="1">
        <f t="array" ref="M129">-SUMPRODUCT((B$2:B$224=B129)*((C$2:C$224&lt;C129)+(C$2:C$224=C129)*(ROW(G$2:G$224)&lt;=ROW(G129)))*G$2:G$224)</f>
        <v>9506.9068467568432</v>
      </c>
      <c r="N129" s="16" cm="1">
        <f t="array" ref="N129">-SUMPRODUCT((B$2:B$224=B129)*((C$2:C$224&lt;C129)+(C$2:C$224=C129)*(ROW(I$2:I$224)&lt;=ROW(I129)))*I$2:I$224)</f>
        <v>218989</v>
      </c>
      <c r="O129" s="16">
        <f>ROUND(テーブル10[[#This Row],[為替レート]]*テーブル10[[#This Row],[元残高]],0)</f>
        <v>212670</v>
      </c>
      <c r="P129" s="27">
        <f>テーブル10[[#This Row],[円残高]]-テーブル10[[#This Row],[円残高_時価]]</f>
        <v>6319</v>
      </c>
    </row>
    <row r="130" spans="1:16" ht="18" customHeight="1" x14ac:dyDescent="0.25">
      <c r="A130" s="8" t="s">
        <v>49</v>
      </c>
      <c r="B130" s="8" t="s">
        <v>70</v>
      </c>
      <c r="C130" s="9">
        <v>45643</v>
      </c>
      <c r="D130" s="22" t="s">
        <v>4</v>
      </c>
      <c r="E130" s="8" t="s">
        <v>10</v>
      </c>
      <c r="F130" s="8" t="s">
        <v>1</v>
      </c>
      <c r="G130" s="13">
        <v>562.5</v>
      </c>
      <c r="H130" s="3">
        <v>22.37</v>
      </c>
      <c r="I130" s="12">
        <f>ROUND(テーブル10[[#This Row],[元金額]]*テーブル10[[#This Row],[為替レート]],0)</f>
        <v>12583</v>
      </c>
      <c r="J130" s="8" t="s">
        <v>403</v>
      </c>
      <c r="K130" s="18" t="s">
        <v>21</v>
      </c>
      <c r="L130" s="31" t="s">
        <v>630</v>
      </c>
      <c r="M130" s="29" cm="1">
        <f t="array" ref="M130">-SUMPRODUCT((B$2:B$224=B130)*((C$2:C$224&lt;C130)+(C$2:C$224=C130)*(ROW(G$2:G$224)&lt;=ROW(G130)))*G$2:G$224)</f>
        <v>8944.4068467568432</v>
      </c>
      <c r="N130" s="16" cm="1">
        <f t="array" ref="N130">-SUMPRODUCT((B$2:B$224=B130)*((C$2:C$224&lt;C130)+(C$2:C$224=C130)*(ROW(I$2:I$224)&lt;=ROW(I130)))*I$2:I$224)</f>
        <v>206406</v>
      </c>
      <c r="O130" s="16">
        <f>ROUND(テーブル10[[#This Row],[為替レート]]*テーブル10[[#This Row],[元残高]],0)</f>
        <v>200086</v>
      </c>
      <c r="P130" s="27">
        <f>テーブル10[[#This Row],[円残高]]-テーブル10[[#This Row],[円残高_時価]]</f>
        <v>6320</v>
      </c>
    </row>
    <row r="131" spans="1:16" ht="18" customHeight="1" x14ac:dyDescent="0.25">
      <c r="A131" s="8" t="s">
        <v>49</v>
      </c>
      <c r="B131" s="8" t="s">
        <v>70</v>
      </c>
      <c r="C131" s="9">
        <v>45643</v>
      </c>
      <c r="D131" s="22" t="s">
        <v>4</v>
      </c>
      <c r="E131" s="8" t="s">
        <v>10</v>
      </c>
      <c r="F131" s="8" t="s">
        <v>1</v>
      </c>
      <c r="G131" s="13">
        <v>257</v>
      </c>
      <c r="H131" s="3">
        <v>22.37</v>
      </c>
      <c r="I131" s="12">
        <f>ROUND(テーブル10[[#This Row],[元金額]]*テーブル10[[#This Row],[為替レート]],0)</f>
        <v>5749</v>
      </c>
      <c r="J131" s="8" t="s">
        <v>403</v>
      </c>
      <c r="K131" s="18" t="s">
        <v>22</v>
      </c>
      <c r="L131" s="8" t="s">
        <v>464</v>
      </c>
      <c r="M131" s="29" cm="1">
        <f t="array" ref="M131">-SUMPRODUCT((B$2:B$224=B131)*((C$2:C$224&lt;C131)+(C$2:C$224=C131)*(ROW(G$2:G$224)&lt;=ROW(G131)))*G$2:G$224)</f>
        <v>8687.4068467568432</v>
      </c>
      <c r="N131" s="16" cm="1">
        <f t="array" ref="N131">-SUMPRODUCT((B$2:B$224=B131)*((C$2:C$224&lt;C131)+(C$2:C$224=C131)*(ROW(I$2:I$224)&lt;=ROW(I131)))*I$2:I$224)</f>
        <v>200657</v>
      </c>
      <c r="O131" s="16">
        <f>ROUND(テーブル10[[#This Row],[為替レート]]*テーブル10[[#This Row],[元残高]],0)</f>
        <v>194337</v>
      </c>
      <c r="P131" s="27">
        <f>テーブル10[[#This Row],[円残高]]-テーブル10[[#This Row],[円残高_時価]]</f>
        <v>6320</v>
      </c>
    </row>
    <row r="132" spans="1:16" ht="18" customHeight="1" x14ac:dyDescent="0.25">
      <c r="A132" s="8" t="s">
        <v>49</v>
      </c>
      <c r="B132" s="8" t="s">
        <v>70</v>
      </c>
      <c r="C132" s="9">
        <v>45663</v>
      </c>
      <c r="D132" s="22" t="s">
        <v>4</v>
      </c>
      <c r="E132" s="8" t="s">
        <v>69</v>
      </c>
      <c r="F132" s="8" t="s">
        <v>1</v>
      </c>
      <c r="G132" s="13">
        <v>18</v>
      </c>
      <c r="H132" s="3">
        <v>22.37</v>
      </c>
      <c r="I132" s="12">
        <f>ROUND(テーブル10[[#This Row],[元金額]]*テーブル10[[#This Row],[為替レート]],0)</f>
        <v>403</v>
      </c>
      <c r="J132" s="8" t="s">
        <v>404</v>
      </c>
      <c r="K132" s="18" t="s">
        <v>20</v>
      </c>
      <c r="L132" s="8" t="s">
        <v>465</v>
      </c>
      <c r="M132" s="29" cm="1">
        <f t="array" ref="M132">-SUMPRODUCT((B$2:B$224=B132)*((C$2:C$224&lt;C132)+(C$2:C$224=C132)*(ROW(G$2:G$224)&lt;=ROW(G132)))*G$2:G$224)</f>
        <v>8669.4068467568432</v>
      </c>
      <c r="N132" s="16" cm="1">
        <f t="array" ref="N132">-SUMPRODUCT((B$2:B$224=B132)*((C$2:C$224&lt;C132)+(C$2:C$224=C132)*(ROW(I$2:I$224)&lt;=ROW(I132)))*I$2:I$224)</f>
        <v>200254</v>
      </c>
      <c r="O132" s="16">
        <f>ROUND(テーブル10[[#This Row],[為替レート]]*テーブル10[[#This Row],[元残高]],0)</f>
        <v>193935</v>
      </c>
      <c r="P132" s="27">
        <f>テーブル10[[#This Row],[円残高]]-テーブル10[[#This Row],[円残高_時価]]</f>
        <v>6319</v>
      </c>
    </row>
    <row r="133" spans="1:16" ht="18" customHeight="1" x14ac:dyDescent="0.25">
      <c r="A133" s="8" t="s">
        <v>49</v>
      </c>
      <c r="B133" s="8" t="s">
        <v>70</v>
      </c>
      <c r="C133" s="9">
        <v>45672</v>
      </c>
      <c r="D133" s="22" t="s">
        <v>4</v>
      </c>
      <c r="E133" s="8" t="s">
        <v>430</v>
      </c>
      <c r="F133" s="8" t="s">
        <v>1</v>
      </c>
      <c r="G133" s="13">
        <v>100</v>
      </c>
      <c r="H133" s="3">
        <v>22.37</v>
      </c>
      <c r="I133" s="12">
        <f>ROUND(テーブル10[[#This Row],[元金額]]*テーブル10[[#This Row],[為替レート]],0)</f>
        <v>2237</v>
      </c>
      <c r="J133" s="8" t="s">
        <v>404</v>
      </c>
      <c r="K133" s="18" t="s">
        <v>23</v>
      </c>
      <c r="L133" s="20" t="s">
        <v>467</v>
      </c>
      <c r="M133" s="29" cm="1">
        <f t="array" ref="M133">-SUMPRODUCT((B$2:B$224=B133)*((C$2:C$224&lt;C133)+(C$2:C$224=C133)*(ROW(G$2:G$224)&lt;=ROW(G133)))*G$2:G$224)</f>
        <v>8569.4068467568432</v>
      </c>
      <c r="N133" s="16" cm="1">
        <f t="array" ref="N133">-SUMPRODUCT((B$2:B$224=B133)*((C$2:C$224&lt;C133)+(C$2:C$224=C133)*(ROW(I$2:I$224)&lt;=ROW(I133)))*I$2:I$224)</f>
        <v>198017</v>
      </c>
      <c r="O133" s="16">
        <f>ROUND(テーブル10[[#This Row],[為替レート]]*テーブル10[[#This Row],[元残高]],0)</f>
        <v>191698</v>
      </c>
      <c r="P133" s="27">
        <f>テーブル10[[#This Row],[円残高]]-テーブル10[[#This Row],[円残高_時価]]</f>
        <v>6319</v>
      </c>
    </row>
    <row r="134" spans="1:16" ht="18" customHeight="1" x14ac:dyDescent="0.25">
      <c r="A134" s="8" t="s">
        <v>49</v>
      </c>
      <c r="B134" s="8" t="s">
        <v>70</v>
      </c>
      <c r="C134" s="9">
        <v>45673</v>
      </c>
      <c r="D134" s="22" t="s">
        <v>4</v>
      </c>
      <c r="E134" s="8" t="s">
        <v>430</v>
      </c>
      <c r="F134" s="8" t="s">
        <v>1</v>
      </c>
      <c r="G134" s="13">
        <v>25</v>
      </c>
      <c r="H134" s="3">
        <v>22.37</v>
      </c>
      <c r="I134" s="12">
        <f>ROUND(テーブル10[[#This Row],[元金額]]*テーブル10[[#This Row],[為替レート]],0)</f>
        <v>559</v>
      </c>
      <c r="J134" s="8" t="s">
        <v>404</v>
      </c>
      <c r="K134" s="18" t="s">
        <v>19</v>
      </c>
      <c r="L134" s="8" t="s">
        <v>468</v>
      </c>
      <c r="M134" s="29" cm="1">
        <f t="array" ref="M134">-SUMPRODUCT((B$2:B$224=B134)*((C$2:C$224&lt;C134)+(C$2:C$224=C134)*(ROW(G$2:G$224)&lt;=ROW(G134)))*G$2:G$224)</f>
        <v>8544.4068467568432</v>
      </c>
      <c r="N134" s="16" cm="1">
        <f t="array" ref="N134">-SUMPRODUCT((B$2:B$224=B134)*((C$2:C$224&lt;C134)+(C$2:C$224=C134)*(ROW(I$2:I$224)&lt;=ROW(I134)))*I$2:I$224)</f>
        <v>197458</v>
      </c>
      <c r="O134" s="16">
        <f>ROUND(テーブル10[[#This Row],[為替レート]]*テーブル10[[#This Row],[元残高]],0)</f>
        <v>191138</v>
      </c>
      <c r="P134" s="27">
        <f>テーブル10[[#This Row],[円残高]]-テーブル10[[#This Row],[円残高_時価]]</f>
        <v>6320</v>
      </c>
    </row>
    <row r="135" spans="1:16" ht="18" customHeight="1" x14ac:dyDescent="0.25">
      <c r="A135" s="8" t="s">
        <v>49</v>
      </c>
      <c r="B135" s="8" t="s">
        <v>70</v>
      </c>
      <c r="C135" s="9">
        <v>45699</v>
      </c>
      <c r="D135" s="22" t="s">
        <v>4</v>
      </c>
      <c r="E135" s="8" t="s">
        <v>430</v>
      </c>
      <c r="F135" s="8" t="s">
        <v>1</v>
      </c>
      <c r="G135" s="13">
        <v>50</v>
      </c>
      <c r="H135" s="3">
        <v>22.37</v>
      </c>
      <c r="I135" s="12">
        <f>ROUND(テーブル10[[#This Row],[元金額]]*テーブル10[[#This Row],[為替レート]],0)</f>
        <v>1119</v>
      </c>
      <c r="J135" s="8" t="s">
        <v>404</v>
      </c>
      <c r="K135" s="18" t="s">
        <v>23</v>
      </c>
      <c r="L135" s="8" t="s">
        <v>469</v>
      </c>
      <c r="M135" s="29" cm="1">
        <f t="array" ref="M135">-SUMPRODUCT((B$2:B$224=B135)*((C$2:C$224&lt;C135)+(C$2:C$224=C135)*(ROW(G$2:G$224)&lt;=ROW(G135)))*G$2:G$224)</f>
        <v>8494.4068467568432</v>
      </c>
      <c r="N135" s="16" cm="1">
        <f t="array" ref="N135">-SUMPRODUCT((B$2:B$224=B135)*((C$2:C$224&lt;C135)+(C$2:C$224=C135)*(ROW(I$2:I$224)&lt;=ROW(I135)))*I$2:I$224)</f>
        <v>196339</v>
      </c>
      <c r="O135" s="16">
        <f>ROUND(テーブル10[[#This Row],[為替レート]]*テーブル10[[#This Row],[元残高]],0)</f>
        <v>190020</v>
      </c>
      <c r="P135" s="27">
        <f>テーブル10[[#This Row],[円残高]]-テーブル10[[#This Row],[円残高_時価]]</f>
        <v>6319</v>
      </c>
    </row>
    <row r="136" spans="1:16" ht="18" customHeight="1" x14ac:dyDescent="0.25">
      <c r="A136" s="8" t="s">
        <v>49</v>
      </c>
      <c r="B136" s="8" t="s">
        <v>70</v>
      </c>
      <c r="C136" s="9">
        <v>45700</v>
      </c>
      <c r="D136" s="22" t="s">
        <v>4</v>
      </c>
      <c r="E136" s="8" t="s">
        <v>430</v>
      </c>
      <c r="F136" s="8" t="s">
        <v>1</v>
      </c>
      <c r="G136" s="13">
        <v>150</v>
      </c>
      <c r="H136" s="3">
        <v>22.37</v>
      </c>
      <c r="I136" s="12">
        <f>ROUND(テーブル10[[#This Row],[元金額]]*テーブル10[[#This Row],[為替レート]],0)</f>
        <v>3356</v>
      </c>
      <c r="J136" s="8" t="s">
        <v>404</v>
      </c>
      <c r="K136" s="18" t="s">
        <v>19</v>
      </c>
      <c r="L136" s="8" t="s">
        <v>470</v>
      </c>
      <c r="M136" s="29" cm="1">
        <f t="array" ref="M136">-SUMPRODUCT((B$2:B$224=B136)*((C$2:C$224&lt;C136)+(C$2:C$224=C136)*(ROW(G$2:G$224)&lt;=ROW(G136)))*G$2:G$224)</f>
        <v>8344.4068467568432</v>
      </c>
      <c r="N136" s="16" cm="1">
        <f t="array" ref="N136">-SUMPRODUCT((B$2:B$224=B136)*((C$2:C$224&lt;C136)+(C$2:C$224=C136)*(ROW(I$2:I$224)&lt;=ROW(I136)))*I$2:I$224)</f>
        <v>192983</v>
      </c>
      <c r="O136" s="16">
        <f>ROUND(テーブル10[[#This Row],[為替レート]]*テーブル10[[#This Row],[元残高]],0)</f>
        <v>186664</v>
      </c>
      <c r="P136" s="27">
        <f>テーブル10[[#This Row],[円残高]]-テーブル10[[#This Row],[円残高_時価]]</f>
        <v>6319</v>
      </c>
    </row>
    <row r="137" spans="1:16" ht="18" customHeight="1" x14ac:dyDescent="0.25">
      <c r="A137" s="8" t="s">
        <v>49</v>
      </c>
      <c r="B137" s="8" t="s">
        <v>70</v>
      </c>
      <c r="C137" s="9">
        <v>45705</v>
      </c>
      <c r="D137" s="22" t="s">
        <v>4</v>
      </c>
      <c r="E137" s="8" t="s">
        <v>29</v>
      </c>
      <c r="F137" s="8" t="s">
        <v>1</v>
      </c>
      <c r="G137" s="13">
        <v>2940</v>
      </c>
      <c r="H137" s="3">
        <v>22.37</v>
      </c>
      <c r="I137" s="12">
        <f>ROUND(テーブル10[[#This Row],[元金額]]*テーブル10[[#This Row],[為替レート]],0)</f>
        <v>65768</v>
      </c>
      <c r="J137" s="8" t="s">
        <v>404</v>
      </c>
      <c r="K137" s="18" t="s">
        <v>33</v>
      </c>
      <c r="L137" s="20" t="s">
        <v>477</v>
      </c>
      <c r="M137" s="29" cm="1">
        <f t="array" ref="M137">-SUMPRODUCT((B$2:B$224=B137)*((C$2:C$224&lt;C137)+(C$2:C$224=C137)*(ROW(G$2:G$224)&lt;=ROW(G137)))*G$2:G$224)</f>
        <v>5404.4068467568432</v>
      </c>
      <c r="N137" s="16" cm="1">
        <f t="array" ref="N137">-SUMPRODUCT((B$2:B$224=B137)*((C$2:C$224&lt;C137)+(C$2:C$224=C137)*(ROW(I$2:I$224)&lt;=ROW(I137)))*I$2:I$224)</f>
        <v>127215</v>
      </c>
      <c r="O137" s="16">
        <f>ROUND(テーブル10[[#This Row],[為替レート]]*テーブル10[[#This Row],[元残高]],0)</f>
        <v>120897</v>
      </c>
      <c r="P137" s="27">
        <f>テーブル10[[#This Row],[円残高]]-テーブル10[[#This Row],[円残高_時価]]</f>
        <v>6318</v>
      </c>
    </row>
    <row r="138" spans="1:16" ht="18" customHeight="1" x14ac:dyDescent="0.25">
      <c r="A138" s="8" t="s">
        <v>49</v>
      </c>
      <c r="B138" s="8" t="s">
        <v>70</v>
      </c>
      <c r="C138" s="9">
        <v>45705</v>
      </c>
      <c r="D138" s="22" t="s">
        <v>4</v>
      </c>
      <c r="E138" s="8" t="s">
        <v>29</v>
      </c>
      <c r="F138" s="8" t="s">
        <v>1</v>
      </c>
      <c r="G138" s="13">
        <v>-1000</v>
      </c>
      <c r="H138" s="3">
        <v>22.37</v>
      </c>
      <c r="I138" s="12">
        <f>ROUND(テーブル10[[#This Row],[元金額]]*テーブル10[[#This Row],[為替レート]],0)</f>
        <v>-22370</v>
      </c>
      <c r="J138" s="8" t="s">
        <v>404</v>
      </c>
      <c r="K138" s="18" t="s">
        <v>23</v>
      </c>
      <c r="L138" s="8" t="s">
        <v>471</v>
      </c>
      <c r="M138" s="29" cm="1">
        <f t="array" ref="M138">-SUMPRODUCT((B$2:B$224=B138)*((C$2:C$224&lt;C138)+(C$2:C$224=C138)*(ROW(G$2:G$224)&lt;=ROW(G138)))*G$2:G$224)</f>
        <v>6404.4068467568432</v>
      </c>
      <c r="N138" s="16" cm="1">
        <f t="array" ref="N138">-SUMPRODUCT((B$2:B$224=B138)*((C$2:C$224&lt;C138)+(C$2:C$224=C138)*(ROW(I$2:I$224)&lt;=ROW(I138)))*I$2:I$224)</f>
        <v>149585</v>
      </c>
      <c r="O138" s="16">
        <f>ROUND(テーブル10[[#This Row],[為替レート]]*テーブル10[[#This Row],[元残高]],0)</f>
        <v>143267</v>
      </c>
      <c r="P138" s="27">
        <f>テーブル10[[#This Row],[円残高]]-テーブル10[[#This Row],[円残高_時価]]</f>
        <v>6318</v>
      </c>
    </row>
    <row r="139" spans="1:16" ht="18" customHeight="1" x14ac:dyDescent="0.25">
      <c r="A139" s="8" t="s">
        <v>49</v>
      </c>
      <c r="B139" s="8" t="s">
        <v>70</v>
      </c>
      <c r="C139" s="9">
        <v>45705</v>
      </c>
      <c r="D139" s="22" t="s">
        <v>4</v>
      </c>
      <c r="E139" s="8" t="s">
        <v>430</v>
      </c>
      <c r="F139" s="8" t="s">
        <v>1</v>
      </c>
      <c r="G139" s="13">
        <v>25</v>
      </c>
      <c r="H139" s="3">
        <v>22.37</v>
      </c>
      <c r="I139" s="12">
        <f>ROUND(テーブル10[[#This Row],[元金額]]*テーブル10[[#This Row],[為替レート]],0)</f>
        <v>559</v>
      </c>
      <c r="J139" s="8" t="s">
        <v>404</v>
      </c>
      <c r="K139" s="18" t="s">
        <v>23</v>
      </c>
      <c r="L139" s="20" t="s">
        <v>475</v>
      </c>
      <c r="M139" s="29" cm="1">
        <f t="array" ref="M139">-SUMPRODUCT((B$2:B$224=B139)*((C$2:C$224&lt;C139)+(C$2:C$224=C139)*(ROW(G$2:G$224)&lt;=ROW(G139)))*G$2:G$224)</f>
        <v>6379.4068467568432</v>
      </c>
      <c r="N139" s="16" cm="1">
        <f t="array" ref="N139">-SUMPRODUCT((B$2:B$224=B139)*((C$2:C$224&lt;C139)+(C$2:C$224=C139)*(ROW(I$2:I$224)&lt;=ROW(I139)))*I$2:I$224)</f>
        <v>149026</v>
      </c>
      <c r="O139" s="16">
        <f>ROUND(テーブル10[[#This Row],[為替レート]]*テーブル10[[#This Row],[元残高]],0)</f>
        <v>142707</v>
      </c>
      <c r="P139" s="27">
        <f>テーブル10[[#This Row],[円残高]]-テーブル10[[#This Row],[円残高_時価]]</f>
        <v>6319</v>
      </c>
    </row>
    <row r="140" spans="1:16" ht="18" customHeight="1" x14ac:dyDescent="0.25">
      <c r="A140" s="8" t="s">
        <v>49</v>
      </c>
      <c r="B140" s="8" t="s">
        <v>70</v>
      </c>
      <c r="C140" s="9">
        <v>45705</v>
      </c>
      <c r="D140" s="22" t="s">
        <v>358</v>
      </c>
      <c r="E140" s="8"/>
      <c r="F140" s="8" t="s">
        <v>1</v>
      </c>
      <c r="G140" s="13">
        <v>12</v>
      </c>
      <c r="H140" s="3">
        <v>22.37</v>
      </c>
      <c r="I140" s="12">
        <f>ROUND(テーブル10[[#This Row],[元金額]]*テーブル10[[#This Row],[為替レート]],0)</f>
        <v>268</v>
      </c>
      <c r="J140" s="8"/>
      <c r="K140" s="18"/>
      <c r="L140" s="8" t="s">
        <v>472</v>
      </c>
      <c r="M140" s="29" cm="1">
        <f t="array" ref="M140">-SUMPRODUCT((B$2:B$224=B140)*((C$2:C$224&lt;C140)+(C$2:C$224=C140)*(ROW(G$2:G$224)&lt;=ROW(G140)))*G$2:G$224)</f>
        <v>6367.4068467568432</v>
      </c>
      <c r="N140" s="16" cm="1">
        <f t="array" ref="N140">-SUMPRODUCT((B$2:B$224=B140)*((C$2:C$224&lt;C140)+(C$2:C$224=C140)*(ROW(I$2:I$224)&lt;=ROW(I140)))*I$2:I$224)</f>
        <v>148758</v>
      </c>
      <c r="O140" s="16">
        <f>ROUND(テーブル10[[#This Row],[為替レート]]*テーブル10[[#This Row],[元残高]],0)</f>
        <v>142439</v>
      </c>
      <c r="P140" s="27">
        <f>テーブル10[[#This Row],[円残高]]-テーブル10[[#This Row],[円残高_時価]]</f>
        <v>6319</v>
      </c>
    </row>
    <row r="141" spans="1:16" ht="18" customHeight="1" x14ac:dyDescent="0.25">
      <c r="A141" s="8" t="s">
        <v>49</v>
      </c>
      <c r="B141" s="8" t="s">
        <v>70</v>
      </c>
      <c r="C141" s="9">
        <v>45705</v>
      </c>
      <c r="D141" s="22" t="s">
        <v>24</v>
      </c>
      <c r="E141" s="8"/>
      <c r="F141" s="8" t="s">
        <v>1</v>
      </c>
      <c r="G141" s="13">
        <v>116</v>
      </c>
      <c r="H141" s="3">
        <v>22.37</v>
      </c>
      <c r="I141" s="12">
        <f>ROUND(テーブル10[[#This Row],[元金額]]*テーブル10[[#This Row],[為替レート]],0)</f>
        <v>2595</v>
      </c>
      <c r="J141" s="8" t="s">
        <v>404</v>
      </c>
      <c r="K141" s="18" t="s">
        <v>19</v>
      </c>
      <c r="L141" s="8" t="s">
        <v>473</v>
      </c>
      <c r="M141" s="29" cm="1">
        <f t="array" ref="M141">-SUMPRODUCT((B$2:B$224=B141)*((C$2:C$224&lt;C141)+(C$2:C$224=C141)*(ROW(G$2:G$224)&lt;=ROW(G141)))*G$2:G$224)</f>
        <v>6251.4068467568432</v>
      </c>
      <c r="N141" s="16" cm="1">
        <f t="array" ref="N141">-SUMPRODUCT((B$2:B$224=B141)*((C$2:C$224&lt;C141)+(C$2:C$224=C141)*(ROW(I$2:I$224)&lt;=ROW(I141)))*I$2:I$224)</f>
        <v>146163</v>
      </c>
      <c r="O141" s="16">
        <f>ROUND(テーブル10[[#This Row],[為替レート]]*テーブル10[[#This Row],[元残高]],0)</f>
        <v>139844</v>
      </c>
      <c r="P141" s="27">
        <f>テーブル10[[#This Row],[円残高]]-テーブル10[[#This Row],[円残高_時価]]</f>
        <v>6319</v>
      </c>
    </row>
    <row r="142" spans="1:16" ht="18" customHeight="1" x14ac:dyDescent="0.25">
      <c r="A142" s="8" t="s">
        <v>49</v>
      </c>
      <c r="B142" s="8" t="s">
        <v>70</v>
      </c>
      <c r="C142" s="9">
        <v>45707</v>
      </c>
      <c r="D142" s="22" t="s">
        <v>358</v>
      </c>
      <c r="E142" s="8"/>
      <c r="F142" s="8" t="s">
        <v>1</v>
      </c>
      <c r="G142" s="13">
        <v>36</v>
      </c>
      <c r="H142" s="3">
        <v>22.37</v>
      </c>
      <c r="I142" s="12">
        <f>ROUND(テーブル10[[#This Row],[元金額]]*テーブル10[[#This Row],[為替レート]],0)</f>
        <v>805</v>
      </c>
      <c r="J142" s="8" t="s">
        <v>404</v>
      </c>
      <c r="K142" s="18"/>
      <c r="L142" s="8" t="s">
        <v>474</v>
      </c>
      <c r="M142" s="29" cm="1">
        <f t="array" ref="M142">-SUMPRODUCT((B$2:B$224=B142)*((C$2:C$224&lt;C142)+(C$2:C$224=C142)*(ROW(G$2:G$224)&lt;=ROW(G142)))*G$2:G$224)</f>
        <v>6215.4068467568432</v>
      </c>
      <c r="N142" s="16" cm="1">
        <f t="array" ref="N142">-SUMPRODUCT((B$2:B$224=B142)*((C$2:C$224&lt;C142)+(C$2:C$224=C142)*(ROW(I$2:I$224)&lt;=ROW(I142)))*I$2:I$224)</f>
        <v>145358</v>
      </c>
      <c r="O142" s="16">
        <f>ROUND(テーブル10[[#This Row],[為替レート]]*テーブル10[[#This Row],[元残高]],0)</f>
        <v>139039</v>
      </c>
      <c r="P142" s="27">
        <f>テーブル10[[#This Row],[円残高]]-テーブル10[[#This Row],[円残高_時価]]</f>
        <v>6319</v>
      </c>
    </row>
    <row r="143" spans="1:16" ht="18" customHeight="1" x14ac:dyDescent="0.25">
      <c r="A143" s="8" t="s">
        <v>49</v>
      </c>
      <c r="B143" s="8" t="s">
        <v>70</v>
      </c>
      <c r="C143" s="9">
        <v>45707</v>
      </c>
      <c r="D143" s="22" t="s">
        <v>4</v>
      </c>
      <c r="E143" s="8" t="s">
        <v>69</v>
      </c>
      <c r="F143" s="8" t="s">
        <v>1</v>
      </c>
      <c r="G143" s="13">
        <v>10.5</v>
      </c>
      <c r="H143" s="3">
        <v>22.37</v>
      </c>
      <c r="I143" s="12">
        <f>ROUND(テーブル10[[#This Row],[元金額]]*テーブル10[[#This Row],[為替レート]],0)</f>
        <v>235</v>
      </c>
      <c r="J143" s="8" t="s">
        <v>404</v>
      </c>
      <c r="K143" s="18" t="s">
        <v>20</v>
      </c>
      <c r="L143" s="20" t="s">
        <v>499</v>
      </c>
      <c r="M143" s="29" cm="1">
        <f t="array" ref="M143">-SUMPRODUCT((B$2:B$224=B143)*((C$2:C$224&lt;C143)+(C$2:C$224=C143)*(ROW(G$2:G$224)&lt;=ROW(G143)))*G$2:G$224)</f>
        <v>6204.9068467568432</v>
      </c>
      <c r="N143" s="16" cm="1">
        <f t="array" ref="N143">-SUMPRODUCT((B$2:B$224=B143)*((C$2:C$224&lt;C143)+(C$2:C$224=C143)*(ROW(I$2:I$224)&lt;=ROW(I143)))*I$2:I$224)</f>
        <v>145123</v>
      </c>
      <c r="O143" s="16">
        <f>ROUND(テーブル10[[#This Row],[為替レート]]*テーブル10[[#This Row],[元残高]],0)</f>
        <v>138804</v>
      </c>
      <c r="P143" s="27">
        <f>テーブル10[[#This Row],[円残高]]-テーブル10[[#This Row],[円残高_時価]]</f>
        <v>6319</v>
      </c>
    </row>
    <row r="144" spans="1:16" ht="18" customHeight="1" x14ac:dyDescent="0.25">
      <c r="A144" s="8" t="s">
        <v>49</v>
      </c>
      <c r="B144" s="8" t="s">
        <v>70</v>
      </c>
      <c r="C144" s="9">
        <v>45713</v>
      </c>
      <c r="D144" s="22" t="s">
        <v>4</v>
      </c>
      <c r="E144" s="8" t="s">
        <v>430</v>
      </c>
      <c r="F144" s="8" t="s">
        <v>1</v>
      </c>
      <c r="G144" s="13">
        <v>50</v>
      </c>
      <c r="H144" s="3">
        <v>22.37</v>
      </c>
      <c r="I144" s="12">
        <f>ROUND(テーブル10[[#This Row],[元金額]]*テーブル10[[#This Row],[為替レート]],0)</f>
        <v>1119</v>
      </c>
      <c r="J144" s="8" t="s">
        <v>404</v>
      </c>
      <c r="K144" s="18" t="s">
        <v>19</v>
      </c>
      <c r="L144" s="8" t="s">
        <v>478</v>
      </c>
      <c r="M144" s="29" cm="1">
        <f t="array" ref="M144">-SUMPRODUCT((B$2:B$224=B144)*((C$2:C$224&lt;C144)+(C$2:C$224=C144)*(ROW(G$2:G$224)&lt;=ROW(G144)))*G$2:G$224)</f>
        <v>6154.9068467568432</v>
      </c>
      <c r="N144" s="16" cm="1">
        <f t="array" ref="N144">-SUMPRODUCT((B$2:B$224=B144)*((C$2:C$224&lt;C144)+(C$2:C$224=C144)*(ROW(I$2:I$224)&lt;=ROW(I144)))*I$2:I$224)</f>
        <v>144004</v>
      </c>
      <c r="O144" s="16">
        <f>ROUND(テーブル10[[#This Row],[為替レート]]*テーブル10[[#This Row],[元残高]],0)</f>
        <v>137685</v>
      </c>
      <c r="P144" s="27">
        <f>テーブル10[[#This Row],[円残高]]-テーブル10[[#This Row],[円残高_時価]]</f>
        <v>6319</v>
      </c>
    </row>
    <row r="145" spans="1:19" ht="18" customHeight="1" x14ac:dyDescent="0.25">
      <c r="A145" s="8" t="s">
        <v>49</v>
      </c>
      <c r="B145" s="8" t="s">
        <v>70</v>
      </c>
      <c r="C145" s="9">
        <v>45714</v>
      </c>
      <c r="D145" s="22" t="s">
        <v>4</v>
      </c>
      <c r="E145" s="8" t="s">
        <v>430</v>
      </c>
      <c r="F145" s="8" t="s">
        <v>1</v>
      </c>
      <c r="G145" s="13">
        <v>25</v>
      </c>
      <c r="H145" s="3">
        <v>22.37</v>
      </c>
      <c r="I145" s="12">
        <f>ROUND(テーブル10[[#This Row],[元金額]]*テーブル10[[#This Row],[為替レート]],0)</f>
        <v>559</v>
      </c>
      <c r="J145" s="8" t="s">
        <v>404</v>
      </c>
      <c r="K145" s="18" t="s">
        <v>23</v>
      </c>
      <c r="L145" s="8" t="s">
        <v>479</v>
      </c>
      <c r="M145" s="29" cm="1">
        <f t="array" ref="M145">-SUMPRODUCT((B$2:B$224=B145)*((C$2:C$224&lt;C145)+(C$2:C$224=C145)*(ROW(G$2:G$224)&lt;=ROW(G145)))*G$2:G$224)</f>
        <v>6129.9068467568432</v>
      </c>
      <c r="N145" s="16" cm="1">
        <f t="array" ref="N145">-SUMPRODUCT((B$2:B$224=B145)*((C$2:C$224&lt;C145)+(C$2:C$224=C145)*(ROW(I$2:I$224)&lt;=ROW(I145)))*I$2:I$224)</f>
        <v>143445</v>
      </c>
      <c r="O145" s="16">
        <f>ROUND(テーブル10[[#This Row],[為替レート]]*テーブル10[[#This Row],[元残高]],0)</f>
        <v>137126</v>
      </c>
      <c r="P145" s="27">
        <f>テーブル10[[#This Row],[円残高]]-テーブル10[[#This Row],[円残高_時価]]</f>
        <v>6319</v>
      </c>
    </row>
    <row r="146" spans="1:19" ht="18" customHeight="1" x14ac:dyDescent="0.25">
      <c r="A146" s="8" t="s">
        <v>49</v>
      </c>
      <c r="B146" s="8" t="s">
        <v>70</v>
      </c>
      <c r="C146" s="9">
        <v>45715</v>
      </c>
      <c r="D146" s="22" t="s">
        <v>4</v>
      </c>
      <c r="E146" s="8" t="s">
        <v>430</v>
      </c>
      <c r="F146" s="8" t="s">
        <v>1</v>
      </c>
      <c r="G146" s="13">
        <v>25</v>
      </c>
      <c r="H146" s="3">
        <v>22.37</v>
      </c>
      <c r="I146" s="12">
        <f>ROUND(テーブル10[[#This Row],[元金額]]*テーブル10[[#This Row],[為替レート]],0)</f>
        <v>559</v>
      </c>
      <c r="J146" s="8" t="s">
        <v>404</v>
      </c>
      <c r="K146" s="18" t="s">
        <v>23</v>
      </c>
      <c r="L146" s="8" t="s">
        <v>480</v>
      </c>
      <c r="M146" s="29" cm="1">
        <f t="array" ref="M146">-SUMPRODUCT((B$2:B$224=B146)*((C$2:C$224&lt;C146)+(C$2:C$224=C146)*(ROW(G$2:G$224)&lt;=ROW(G146)))*G$2:G$224)</f>
        <v>6104.9068467568432</v>
      </c>
      <c r="N146" s="16" cm="1">
        <f t="array" ref="N146">-SUMPRODUCT((B$2:B$224=B146)*((C$2:C$224&lt;C146)+(C$2:C$224=C146)*(ROW(I$2:I$224)&lt;=ROW(I146)))*I$2:I$224)</f>
        <v>142886</v>
      </c>
      <c r="O146" s="16">
        <f>ROUND(テーブル10[[#This Row],[為替レート]]*テーブル10[[#This Row],[元残高]],0)</f>
        <v>136567</v>
      </c>
      <c r="P146" s="27">
        <f>テーブル10[[#This Row],[円残高]]-テーブル10[[#This Row],[円残高_時価]]</f>
        <v>6319</v>
      </c>
    </row>
    <row r="147" spans="1:19" ht="18" customHeight="1" x14ac:dyDescent="0.25">
      <c r="A147" s="8" t="s">
        <v>49</v>
      </c>
      <c r="B147" s="8" t="s">
        <v>70</v>
      </c>
      <c r="C147" s="9">
        <v>45726</v>
      </c>
      <c r="D147" s="22" t="s">
        <v>24</v>
      </c>
      <c r="E147" s="8"/>
      <c r="F147" s="8" t="s">
        <v>1</v>
      </c>
      <c r="G147" s="13">
        <v>50</v>
      </c>
      <c r="H147" s="3">
        <v>22.37</v>
      </c>
      <c r="I147" s="12">
        <f>ROUND(テーブル10[[#This Row],[元金額]]*テーブル10[[#This Row],[為替レート]],0)</f>
        <v>1119</v>
      </c>
      <c r="J147" s="8" t="s">
        <v>404</v>
      </c>
      <c r="K147" s="18" t="s">
        <v>476</v>
      </c>
      <c r="L147" s="8" t="s">
        <v>481</v>
      </c>
      <c r="M147" s="29" cm="1">
        <f t="array" ref="M147">-SUMPRODUCT((B$2:B$224=B147)*((C$2:C$224&lt;C147)+(C$2:C$224=C147)*(ROW(G$2:G$224)&lt;=ROW(G147)))*G$2:G$224)</f>
        <v>6054.9068467568432</v>
      </c>
      <c r="N147" s="16" cm="1">
        <f t="array" ref="N147">-SUMPRODUCT((B$2:B$224=B147)*((C$2:C$224&lt;C147)+(C$2:C$224=C147)*(ROW(I$2:I$224)&lt;=ROW(I147)))*I$2:I$224)</f>
        <v>141767</v>
      </c>
      <c r="O147" s="16">
        <f>ROUND(テーブル10[[#This Row],[為替レート]]*テーブル10[[#This Row],[元残高]],0)</f>
        <v>135448</v>
      </c>
      <c r="P147" s="27">
        <f>テーブル10[[#This Row],[円残高]]-テーブル10[[#This Row],[円残高_時価]]</f>
        <v>6319</v>
      </c>
    </row>
    <row r="148" spans="1:19" ht="18" customHeight="1" x14ac:dyDescent="0.25">
      <c r="A148" s="8" t="s">
        <v>49</v>
      </c>
      <c r="B148" s="8" t="s">
        <v>70</v>
      </c>
      <c r="C148" s="9">
        <v>45727</v>
      </c>
      <c r="D148" s="22" t="s">
        <v>4</v>
      </c>
      <c r="E148" s="8" t="s">
        <v>430</v>
      </c>
      <c r="F148" s="8" t="s">
        <v>1</v>
      </c>
      <c r="G148" s="13">
        <v>175</v>
      </c>
      <c r="H148" s="3">
        <v>22.37</v>
      </c>
      <c r="I148" s="12">
        <f>ROUND(テーブル10[[#This Row],[元金額]]*テーブル10[[#This Row],[為替レート]],0)</f>
        <v>3915</v>
      </c>
      <c r="J148" s="8" t="s">
        <v>404</v>
      </c>
      <c r="K148" s="18" t="s">
        <v>33</v>
      </c>
      <c r="L148" s="8" t="s">
        <v>482</v>
      </c>
      <c r="M148" s="29" cm="1">
        <f t="array" ref="M148">-SUMPRODUCT((B$2:B$224=B148)*((C$2:C$224&lt;C148)+(C$2:C$224=C148)*(ROW(G$2:G$224)&lt;=ROW(G148)))*G$2:G$224)</f>
        <v>5879.9068467568432</v>
      </c>
      <c r="N148" s="16" cm="1">
        <f t="array" ref="N148">-SUMPRODUCT((B$2:B$224=B148)*((C$2:C$224&lt;C148)+(C$2:C$224=C148)*(ROW(I$2:I$224)&lt;=ROW(I148)))*I$2:I$224)</f>
        <v>137852</v>
      </c>
      <c r="O148" s="16">
        <f>ROUND(テーブル10[[#This Row],[為替レート]]*テーブル10[[#This Row],[元残高]],0)</f>
        <v>131534</v>
      </c>
      <c r="P148" s="27">
        <f>テーブル10[[#This Row],[円残高]]-テーブル10[[#This Row],[円残高_時価]]</f>
        <v>6318</v>
      </c>
    </row>
    <row r="149" spans="1:19" ht="18" customHeight="1" x14ac:dyDescent="0.25">
      <c r="A149" s="8" t="s">
        <v>49</v>
      </c>
      <c r="B149" s="8" t="s">
        <v>70</v>
      </c>
      <c r="C149" s="9">
        <v>45728</v>
      </c>
      <c r="D149" s="22" t="s">
        <v>4</v>
      </c>
      <c r="E149" s="8" t="s">
        <v>430</v>
      </c>
      <c r="F149" s="8" t="s">
        <v>1</v>
      </c>
      <c r="G149" s="13">
        <v>400</v>
      </c>
      <c r="H149" s="3">
        <v>22.37</v>
      </c>
      <c r="I149" s="12">
        <f>ROUND(テーブル10[[#This Row],[元金額]]*テーブル10[[#This Row],[為替レート]],0)</f>
        <v>8948</v>
      </c>
      <c r="J149" s="8" t="s">
        <v>404</v>
      </c>
      <c r="K149" s="18" t="s">
        <v>33</v>
      </c>
      <c r="L149" s="20" t="s">
        <v>484</v>
      </c>
      <c r="M149" s="29" cm="1">
        <f t="array" ref="M149">-SUMPRODUCT((B$2:B$224=B149)*((C$2:C$224&lt;C149)+(C$2:C$224=C149)*(ROW(G$2:G$224)&lt;=ROW(G149)))*G$2:G$224)</f>
        <v>5479.9068467568432</v>
      </c>
      <c r="N149" s="16" cm="1">
        <f t="array" ref="N149">-SUMPRODUCT((B$2:B$224=B149)*((C$2:C$224&lt;C149)+(C$2:C$224=C149)*(ROW(I$2:I$224)&lt;=ROW(I149)))*I$2:I$224)</f>
        <v>128904</v>
      </c>
      <c r="O149" s="16">
        <f>ROUND(テーブル10[[#This Row],[為替レート]]*テーブル10[[#This Row],[元残高]],0)</f>
        <v>122586</v>
      </c>
      <c r="P149" s="27">
        <f>テーブル10[[#This Row],[円残高]]-テーブル10[[#This Row],[円残高_時価]]</f>
        <v>6318</v>
      </c>
    </row>
    <row r="150" spans="1:19" ht="18" customHeight="1" x14ac:dyDescent="0.25">
      <c r="A150" s="8" t="s">
        <v>49</v>
      </c>
      <c r="B150" s="8" t="s">
        <v>70</v>
      </c>
      <c r="C150" s="9">
        <v>45733</v>
      </c>
      <c r="D150" s="22" t="s">
        <v>358</v>
      </c>
      <c r="E150" s="8"/>
      <c r="F150" s="8" t="s">
        <v>1</v>
      </c>
      <c r="G150" s="13">
        <v>12</v>
      </c>
      <c r="H150" s="3">
        <v>22.37</v>
      </c>
      <c r="I150" s="12">
        <f>ROUND(テーブル10[[#This Row],[元金額]]*テーブル10[[#This Row],[為替レート]],0)</f>
        <v>268</v>
      </c>
      <c r="J150" s="8" t="s">
        <v>404</v>
      </c>
      <c r="K150" s="18"/>
      <c r="L150" s="8" t="s">
        <v>483</v>
      </c>
      <c r="M150" s="29" cm="1">
        <f t="array" ref="M150">-SUMPRODUCT((B$2:B$224=B150)*((C$2:C$224&lt;C150)+(C$2:C$224=C150)*(ROW(G$2:G$224)&lt;=ROW(G150)))*G$2:G$224)</f>
        <v>5467.9068467568432</v>
      </c>
      <c r="N150" s="16" cm="1">
        <f t="array" ref="N150">-SUMPRODUCT((B$2:B$224=B150)*((C$2:C$224&lt;C150)+(C$2:C$224=C150)*(ROW(I$2:I$224)&lt;=ROW(I150)))*I$2:I$224)</f>
        <v>128636</v>
      </c>
      <c r="O150" s="16">
        <f>ROUND(テーブル10[[#This Row],[為替レート]]*テーブル10[[#This Row],[元残高]],0)</f>
        <v>122317</v>
      </c>
      <c r="P150" s="27">
        <f>テーブル10[[#This Row],[円残高]]-テーブル10[[#This Row],[円残高_時価]]</f>
        <v>6319</v>
      </c>
    </row>
    <row r="151" spans="1:19" ht="18" customHeight="1" x14ac:dyDescent="0.25">
      <c r="A151" s="8" t="s">
        <v>49</v>
      </c>
      <c r="B151" s="8" t="s">
        <v>70</v>
      </c>
      <c r="C151" s="9">
        <v>45764</v>
      </c>
      <c r="D151" s="22" t="s">
        <v>4</v>
      </c>
      <c r="E151" s="8" t="s">
        <v>29</v>
      </c>
      <c r="F151" s="8" t="s">
        <v>1</v>
      </c>
      <c r="G151" s="13">
        <v>6420</v>
      </c>
      <c r="H151" s="3">
        <v>22.37</v>
      </c>
      <c r="I151" s="12">
        <f>ROUND(テーブル10[[#This Row],[元金額]]*テーブル10[[#This Row],[為替レート]],0)</f>
        <v>143615</v>
      </c>
      <c r="J151" s="8" t="s">
        <v>404</v>
      </c>
      <c r="K151" s="18" t="s">
        <v>34</v>
      </c>
      <c r="L151" s="8" t="s">
        <v>486</v>
      </c>
      <c r="M151" s="29" cm="1">
        <f t="array" ref="M151">-SUMPRODUCT((B$2:B$224=B151)*((C$2:C$224&lt;C151)+(C$2:C$224=C151)*(ROW(G$2:G$224)&lt;=ROW(G151)))*G$2:G$224)</f>
        <v>-952.09315324315685</v>
      </c>
      <c r="N151" s="16" cm="1">
        <f t="array" ref="N151">-SUMPRODUCT((B$2:B$224=B151)*((C$2:C$224&lt;C151)+(C$2:C$224=C151)*(ROW(I$2:I$224)&lt;=ROW(I151)))*I$2:I$224)</f>
        <v>-14979</v>
      </c>
      <c r="O151" s="16">
        <f>ROUND(テーブル10[[#This Row],[為替レート]]*テーブル10[[#This Row],[元残高]],0)</f>
        <v>-21298</v>
      </c>
      <c r="P151" s="27">
        <f>テーブル10[[#This Row],[円残高]]-テーブル10[[#This Row],[円残高_時価]]</f>
        <v>6319</v>
      </c>
    </row>
    <row r="152" spans="1:19" ht="18" customHeight="1" x14ac:dyDescent="0.25">
      <c r="A152" s="8" t="s">
        <v>49</v>
      </c>
      <c r="B152" s="8" t="s">
        <v>70</v>
      </c>
      <c r="C152" s="9">
        <v>45764</v>
      </c>
      <c r="D152" s="22" t="s">
        <v>24</v>
      </c>
      <c r="E152" s="8"/>
      <c r="F152" s="8" t="s">
        <v>1</v>
      </c>
      <c r="G152" s="13">
        <v>100</v>
      </c>
      <c r="H152" s="3">
        <v>22.37</v>
      </c>
      <c r="I152" s="12">
        <f>ROUND(テーブル10[[#This Row],[元金額]]*テーブル10[[#This Row],[為替レート]],0)</f>
        <v>2237</v>
      </c>
      <c r="J152" s="8" t="s">
        <v>404</v>
      </c>
      <c r="K152" s="18" t="s">
        <v>485</v>
      </c>
      <c r="L152" s="8" t="s">
        <v>487</v>
      </c>
      <c r="M152" s="29" cm="1">
        <f t="array" ref="M152">-SUMPRODUCT((B$2:B$224=B152)*((C$2:C$224&lt;C152)+(C$2:C$224=C152)*(ROW(G$2:G$224)&lt;=ROW(G152)))*G$2:G$224)</f>
        <v>-1052.0931532431568</v>
      </c>
      <c r="N152" s="16" cm="1">
        <f t="array" ref="N152">-SUMPRODUCT((B$2:B$224=B152)*((C$2:C$224&lt;C152)+(C$2:C$224=C152)*(ROW(I$2:I$224)&lt;=ROW(I152)))*I$2:I$224)</f>
        <v>-17216</v>
      </c>
      <c r="O152" s="16">
        <f>ROUND(テーブル10[[#This Row],[為替レート]]*テーブル10[[#This Row],[元残高]],0)</f>
        <v>-23535</v>
      </c>
      <c r="P152" s="27">
        <f>テーブル10[[#This Row],[円残高]]-テーブル10[[#This Row],[円残高_時価]]</f>
        <v>6319</v>
      </c>
    </row>
    <row r="153" spans="1:19" ht="18" customHeight="1" x14ac:dyDescent="0.25">
      <c r="A153" s="8" t="s">
        <v>49</v>
      </c>
      <c r="B153" s="8" t="s">
        <v>70</v>
      </c>
      <c r="C153" s="9">
        <v>45765</v>
      </c>
      <c r="D153" s="22" t="s">
        <v>87</v>
      </c>
      <c r="E153" s="8"/>
      <c r="F153" s="10" t="s">
        <v>1</v>
      </c>
      <c r="G153" s="13">
        <f>-200000/20.83</f>
        <v>-9601.5362457993288</v>
      </c>
      <c r="H153" s="3">
        <v>20.83</v>
      </c>
      <c r="I153" s="12">
        <f>ROUND(テーブル10[[#This Row],[元金額]]*テーブル10[[#This Row],[為替レート]],0)</f>
        <v>-200000</v>
      </c>
      <c r="J153" s="8"/>
      <c r="K153" s="18"/>
      <c r="L153" s="8" t="s">
        <v>500</v>
      </c>
      <c r="M153" s="29" cm="1">
        <f t="array" ref="M153">-SUMPRODUCT((B$2:B$224=B153)*((C$2:C$224&lt;C153)+(C$2:C$224=C153)*(ROW(G$2:G$224)&lt;=ROW(G153)))*G$2:G$224)</f>
        <v>8549.4430925561719</v>
      </c>
      <c r="N153" s="16" cm="1">
        <f t="array" ref="N153">-SUMPRODUCT((B$2:B$224=B153)*((C$2:C$224&lt;C153)+(C$2:C$224=C153)*(ROW(I$2:I$224)&lt;=ROW(I153)))*I$2:I$224)</f>
        <v>182784</v>
      </c>
      <c r="O153" s="16">
        <f>ROUND(テーブル10[[#This Row],[為替レート]]*テーブル10[[#This Row],[元残高]],0)</f>
        <v>178085</v>
      </c>
      <c r="P153" s="27">
        <f>テーブル10[[#This Row],[円残高]]-テーブル10[[#This Row],[円残高_時価]]</f>
        <v>4699</v>
      </c>
    </row>
    <row r="154" spans="1:19" ht="18" customHeight="1" x14ac:dyDescent="0.25">
      <c r="A154" s="8" t="s">
        <v>49</v>
      </c>
      <c r="B154" s="8" t="s">
        <v>70</v>
      </c>
      <c r="C154" s="9">
        <v>45765</v>
      </c>
      <c r="D154" s="24" t="s">
        <v>63</v>
      </c>
      <c r="E154" s="8"/>
      <c r="F154" s="8" t="s">
        <v>1</v>
      </c>
      <c r="G154" s="13">
        <f>-G153*0.02</f>
        <v>192.03072491598658</v>
      </c>
      <c r="H154" s="3">
        <v>20.83</v>
      </c>
      <c r="I154" s="12">
        <f>ROUND(テーブル10[[#This Row],[元金額]]*テーブル10[[#This Row],[為替レート]],0)</f>
        <v>4000</v>
      </c>
      <c r="J154" s="21"/>
      <c r="K154" s="18"/>
      <c r="L154" s="8" t="s">
        <v>501</v>
      </c>
      <c r="M154" s="29" cm="1">
        <f t="array" ref="M154">-SUMPRODUCT((B$2:B$224=B154)*((C$2:C$224&lt;C154)+(C$2:C$224=C154)*(ROW(G$2:G$224)&lt;=ROW(G154)))*G$2:G$224)</f>
        <v>8357.412367640185</v>
      </c>
      <c r="N154" s="16" cm="1">
        <f t="array" ref="N154">-SUMPRODUCT((B$2:B$224=B154)*((C$2:C$224&lt;C154)+(C$2:C$224=C154)*(ROW(I$2:I$224)&lt;=ROW(I154)))*I$2:I$224)</f>
        <v>178784</v>
      </c>
      <c r="O154" s="16">
        <f>ROUND(テーブル10[[#This Row],[為替レート]]*テーブル10[[#This Row],[元残高]],0)</f>
        <v>174085</v>
      </c>
      <c r="P154" s="27">
        <f>テーブル10[[#This Row],[円残高]]-テーブル10[[#This Row],[円残高_時価]]</f>
        <v>4699</v>
      </c>
    </row>
    <row r="155" spans="1:19" ht="18" customHeight="1" x14ac:dyDescent="0.25">
      <c r="A155" s="8" t="s">
        <v>49</v>
      </c>
      <c r="B155" s="8" t="s">
        <v>70</v>
      </c>
      <c r="C155" s="9">
        <v>45771</v>
      </c>
      <c r="D155" s="22" t="s">
        <v>4</v>
      </c>
      <c r="E155" s="8" t="s">
        <v>10</v>
      </c>
      <c r="F155" s="8" t="s">
        <v>1</v>
      </c>
      <c r="G155" s="13">
        <v>244</v>
      </c>
      <c r="H155" s="3">
        <v>20.83</v>
      </c>
      <c r="I155" s="12">
        <f>ROUND(テーブル10[[#This Row],[元金額]]*テーブル10[[#This Row],[為替レート]],0)</f>
        <v>5083</v>
      </c>
      <c r="J155" s="8" t="s">
        <v>403</v>
      </c>
      <c r="K155" s="18" t="s">
        <v>35</v>
      </c>
      <c r="L155" s="8" t="s">
        <v>502</v>
      </c>
      <c r="M155" s="29" cm="1">
        <f t="array" ref="M155">-SUMPRODUCT((B$2:B$224=B155)*((C$2:C$224&lt;C155)+(C$2:C$224=C155)*(ROW(G$2:G$224)&lt;=ROW(G155)))*G$2:G$224)</f>
        <v>8113.412367640185</v>
      </c>
      <c r="N155" s="16" cm="1">
        <f t="array" ref="N155">-SUMPRODUCT((B$2:B$224=B155)*((C$2:C$224&lt;C155)+(C$2:C$224=C155)*(ROW(I$2:I$224)&lt;=ROW(I155)))*I$2:I$224)</f>
        <v>173701</v>
      </c>
      <c r="O155" s="16">
        <f>ROUND(テーブル10[[#This Row],[為替レート]]*テーブル10[[#This Row],[元残高]],0)</f>
        <v>169002</v>
      </c>
      <c r="P155" s="27">
        <f>テーブル10[[#This Row],[円残高]]-テーブル10[[#This Row],[円残高_時価]]</f>
        <v>4699</v>
      </c>
    </row>
    <row r="156" spans="1:19" ht="18" customHeight="1" x14ac:dyDescent="0.25">
      <c r="A156" s="8" t="s">
        <v>49</v>
      </c>
      <c r="B156" s="8" t="s">
        <v>70</v>
      </c>
      <c r="C156" s="9">
        <v>45771</v>
      </c>
      <c r="D156" s="22" t="s">
        <v>4</v>
      </c>
      <c r="E156" s="8" t="s">
        <v>10</v>
      </c>
      <c r="F156" s="8" t="s">
        <v>1</v>
      </c>
      <c r="G156" s="13">
        <v>293</v>
      </c>
      <c r="H156" s="3">
        <v>20.83</v>
      </c>
      <c r="I156" s="12">
        <f>ROUND(テーブル10[[#This Row],[元金額]]*テーブル10[[#This Row],[為替レート]],0)</f>
        <v>6103</v>
      </c>
      <c r="J156" s="8" t="s">
        <v>403</v>
      </c>
      <c r="K156" s="18" t="s">
        <v>36</v>
      </c>
      <c r="L156" s="8" t="s">
        <v>503</v>
      </c>
      <c r="M156" s="29" cm="1">
        <f t="array" ref="M156">-SUMPRODUCT((B$2:B$224=B156)*((C$2:C$224&lt;C156)+(C$2:C$224=C156)*(ROW(G$2:G$224)&lt;=ROW(G156)))*G$2:G$224)</f>
        <v>7820.412367640185</v>
      </c>
      <c r="N156" s="16" cm="1">
        <f t="array" ref="N156">-SUMPRODUCT((B$2:B$224=B156)*((C$2:C$224&lt;C156)+(C$2:C$224=C156)*(ROW(I$2:I$224)&lt;=ROW(I156)))*I$2:I$224)</f>
        <v>167598</v>
      </c>
      <c r="O156" s="16">
        <f>ROUND(テーブル10[[#This Row],[為替レート]]*テーブル10[[#This Row],[元残高]],0)</f>
        <v>162899</v>
      </c>
      <c r="P156" s="27">
        <f>テーブル10[[#This Row],[円残高]]-テーブル10[[#This Row],[円残高_時価]]</f>
        <v>4699</v>
      </c>
      <c r="R156" s="7">
        <v>8686.4</v>
      </c>
      <c r="S156" s="3">
        <f>R156*テーブル10[[#This Row],[為替レート]]</f>
        <v>180937.71199999997</v>
      </c>
    </row>
    <row r="157" spans="1:19" ht="18" customHeight="1" x14ac:dyDescent="0.25">
      <c r="A157" s="8" t="s">
        <v>49</v>
      </c>
      <c r="B157" s="8" t="s">
        <v>70</v>
      </c>
      <c r="C157" s="9">
        <v>45771</v>
      </c>
      <c r="D157" s="22" t="s">
        <v>4</v>
      </c>
      <c r="E157" s="8" t="s">
        <v>10</v>
      </c>
      <c r="F157" s="8" t="s">
        <v>1</v>
      </c>
      <c r="G157" s="13">
        <v>245</v>
      </c>
      <c r="H157" s="3">
        <v>20.83</v>
      </c>
      <c r="I157" s="12">
        <f>ROUND(テーブル10[[#This Row],[元金額]]*テーブル10[[#This Row],[為替レート]],0)</f>
        <v>5103</v>
      </c>
      <c r="J157" s="8" t="s">
        <v>403</v>
      </c>
      <c r="K157" s="18" t="s">
        <v>37</v>
      </c>
      <c r="L157" s="8" t="s">
        <v>504</v>
      </c>
      <c r="M157" s="29" cm="1">
        <f t="array" ref="M157">-SUMPRODUCT((B$2:B$224=B157)*((C$2:C$224&lt;C157)+(C$2:C$224=C157)*(ROW(G$2:G$224)&lt;=ROW(G157)))*G$2:G$224)</f>
        <v>7575.412367640185</v>
      </c>
      <c r="N157" s="16" cm="1">
        <f t="array" ref="N157">-SUMPRODUCT((B$2:B$224=B157)*((C$2:C$224&lt;C157)+(C$2:C$224=C157)*(ROW(I$2:I$224)&lt;=ROW(I157)))*I$2:I$224)</f>
        <v>162495</v>
      </c>
      <c r="O157" s="16">
        <f>ROUND(テーブル10[[#This Row],[為替レート]]*テーブル10[[#This Row],[元残高]],0)</f>
        <v>157796</v>
      </c>
      <c r="P157" s="27">
        <f>テーブル10[[#This Row],[円残高]]-テーブル10[[#This Row],[円残高_時価]]</f>
        <v>4699</v>
      </c>
    </row>
    <row r="158" spans="1:19" ht="18" customHeight="1" x14ac:dyDescent="0.25">
      <c r="A158" s="8" t="s">
        <v>49</v>
      </c>
      <c r="B158" s="8" t="s">
        <v>70</v>
      </c>
      <c r="C158" s="9">
        <v>45792</v>
      </c>
      <c r="D158" s="22" t="s">
        <v>4</v>
      </c>
      <c r="E158" s="8" t="s">
        <v>69</v>
      </c>
      <c r="F158" s="8" t="s">
        <v>1</v>
      </c>
      <c r="G158" s="13">
        <v>19</v>
      </c>
      <c r="H158" s="3">
        <v>20.83</v>
      </c>
      <c r="I158" s="12">
        <f>ROUND(テーブル10[[#This Row],[元金額]]*テーブル10[[#This Row],[為替レート]],0)</f>
        <v>396</v>
      </c>
      <c r="J158" s="8" t="s">
        <v>404</v>
      </c>
      <c r="K158" s="18" t="s">
        <v>34</v>
      </c>
      <c r="L158" s="8" t="s">
        <v>505</v>
      </c>
      <c r="M158" s="29" cm="1">
        <f t="array" ref="M158">-SUMPRODUCT((B$2:B$224=B158)*((C$2:C$224&lt;C158)+(C$2:C$224=C158)*(ROW(G$2:G$224)&lt;=ROW(G158)))*G$2:G$224)</f>
        <v>7556.412367640185</v>
      </c>
      <c r="N158" s="16" cm="1">
        <f t="array" ref="N158">-SUMPRODUCT((B$2:B$224=B158)*((C$2:C$224&lt;C158)+(C$2:C$224=C158)*(ROW(I$2:I$224)&lt;=ROW(I158)))*I$2:I$224)</f>
        <v>162099</v>
      </c>
      <c r="O158" s="16">
        <f>ROUND(テーブル10[[#This Row],[為替レート]]*テーブル10[[#This Row],[元残高]],0)</f>
        <v>157400</v>
      </c>
      <c r="P158" s="27">
        <f>テーブル10[[#This Row],[円残高]]-テーブル10[[#This Row],[円残高_時価]]</f>
        <v>4699</v>
      </c>
    </row>
    <row r="159" spans="1:19" ht="18" customHeight="1" x14ac:dyDescent="0.25">
      <c r="A159" s="8" t="s">
        <v>49</v>
      </c>
      <c r="B159" s="8" t="s">
        <v>70</v>
      </c>
      <c r="C159" s="9">
        <v>45798</v>
      </c>
      <c r="D159" s="22" t="s">
        <v>4</v>
      </c>
      <c r="E159" s="8" t="s">
        <v>430</v>
      </c>
      <c r="F159" s="8" t="s">
        <v>1</v>
      </c>
      <c r="G159" s="13">
        <v>450</v>
      </c>
      <c r="H159" s="3">
        <v>20.83</v>
      </c>
      <c r="I159" s="12">
        <f>ROUND(テーブル10[[#This Row],[元金額]]*テーブル10[[#This Row],[為替レート]],0)</f>
        <v>9374</v>
      </c>
      <c r="J159" s="8" t="s">
        <v>404</v>
      </c>
      <c r="K159" s="18" t="s">
        <v>34</v>
      </c>
      <c r="L159" s="8" t="s">
        <v>506</v>
      </c>
      <c r="M159" s="29" cm="1">
        <f t="array" ref="M159">-SUMPRODUCT((B$2:B$224=B159)*((C$2:C$224&lt;C159)+(C$2:C$224=C159)*(ROW(G$2:G$224)&lt;=ROW(G159)))*G$2:G$224)</f>
        <v>7106.412367640185</v>
      </c>
      <c r="N159" s="16" cm="1">
        <f t="array" ref="N159">-SUMPRODUCT((B$2:B$224=B159)*((C$2:C$224&lt;C159)+(C$2:C$224=C159)*(ROW(I$2:I$224)&lt;=ROW(I159)))*I$2:I$224)</f>
        <v>152725</v>
      </c>
      <c r="O159" s="16">
        <f>ROUND(テーブル10[[#This Row],[為替レート]]*テーブル10[[#This Row],[元残高]],0)</f>
        <v>148027</v>
      </c>
      <c r="P159" s="27">
        <f>テーブル10[[#This Row],[円残高]]-テーブル10[[#This Row],[円残高_時価]]</f>
        <v>4698</v>
      </c>
    </row>
    <row r="160" spans="1:19" ht="18" customHeight="1" x14ac:dyDescent="0.25">
      <c r="A160" s="8" t="s">
        <v>49</v>
      </c>
      <c r="B160" s="8" t="s">
        <v>70</v>
      </c>
      <c r="C160" s="9">
        <v>45799</v>
      </c>
      <c r="D160" s="22" t="s">
        <v>4</v>
      </c>
      <c r="E160" s="8" t="s">
        <v>430</v>
      </c>
      <c r="F160" s="8" t="s">
        <v>1</v>
      </c>
      <c r="G160" s="13">
        <v>325</v>
      </c>
      <c r="H160" s="3">
        <v>20.83</v>
      </c>
      <c r="I160" s="12">
        <f>ROUND(テーブル10[[#This Row],[元金額]]*テーブル10[[#This Row],[為替レート]],0)</f>
        <v>6770</v>
      </c>
      <c r="J160" s="8" t="s">
        <v>404</v>
      </c>
      <c r="K160" s="18" t="s">
        <v>34</v>
      </c>
      <c r="L160" s="8" t="s">
        <v>507</v>
      </c>
      <c r="M160" s="29" cm="1">
        <f t="array" ref="M160">-SUMPRODUCT((B$2:B$224=B160)*((C$2:C$224&lt;C160)+(C$2:C$224=C160)*(ROW(G$2:G$224)&lt;=ROW(G160)))*G$2:G$224)</f>
        <v>6781.412367640185</v>
      </c>
      <c r="N160" s="16" cm="1">
        <f t="array" ref="N160">-SUMPRODUCT((B$2:B$224=B160)*((C$2:C$224&lt;C160)+(C$2:C$224=C160)*(ROW(I$2:I$224)&lt;=ROW(I160)))*I$2:I$224)</f>
        <v>145955</v>
      </c>
      <c r="O160" s="16">
        <f>ROUND(テーブル10[[#This Row],[為替レート]]*テーブル10[[#This Row],[元残高]],0)</f>
        <v>141257</v>
      </c>
      <c r="P160" s="27">
        <f>テーブル10[[#This Row],[円残高]]-テーブル10[[#This Row],[円残高_時価]]</f>
        <v>4698</v>
      </c>
    </row>
    <row r="161" spans="1:16" ht="18" customHeight="1" x14ac:dyDescent="0.25">
      <c r="A161" s="8" t="s">
        <v>49</v>
      </c>
      <c r="B161" s="8" t="s">
        <v>70</v>
      </c>
      <c r="C161" s="9">
        <v>45805</v>
      </c>
      <c r="D161" s="22" t="s">
        <v>4</v>
      </c>
      <c r="E161" s="8" t="s">
        <v>29</v>
      </c>
      <c r="F161" s="8" t="s">
        <v>1</v>
      </c>
      <c r="G161" s="13">
        <v>6660</v>
      </c>
      <c r="H161" s="3">
        <v>20.83</v>
      </c>
      <c r="I161" s="12">
        <f>ROUND(テーブル10[[#This Row],[元金額]]*テーブル10[[#This Row],[為替レート]],0)</f>
        <v>138728</v>
      </c>
      <c r="J161" s="8" t="s">
        <v>404</v>
      </c>
      <c r="K161" s="18" t="s">
        <v>38</v>
      </c>
      <c r="L161" s="8" t="s">
        <v>508</v>
      </c>
      <c r="M161" s="29" cm="1">
        <f t="array" ref="M161">-SUMPRODUCT((B$2:B$224=B161)*((C$2:C$224&lt;C161)+(C$2:C$224=C161)*(ROW(G$2:G$224)&lt;=ROW(G161)))*G$2:G$224)</f>
        <v>121.41236764018504</v>
      </c>
      <c r="N161" s="16" cm="1">
        <f t="array" ref="N161">-SUMPRODUCT((B$2:B$224=B161)*((C$2:C$224&lt;C161)+(C$2:C$224=C161)*(ROW(I$2:I$224)&lt;=ROW(I161)))*I$2:I$224)</f>
        <v>7227</v>
      </c>
      <c r="O161" s="16">
        <f>ROUND(テーブル10[[#This Row],[為替レート]]*テーブル10[[#This Row],[元残高]],0)</f>
        <v>2529</v>
      </c>
      <c r="P161" s="27">
        <f>テーブル10[[#This Row],[円残高]]-テーブル10[[#This Row],[円残高_時価]]</f>
        <v>4698</v>
      </c>
    </row>
    <row r="162" spans="1:16" ht="18" customHeight="1" x14ac:dyDescent="0.25">
      <c r="A162" s="8" t="s">
        <v>49</v>
      </c>
      <c r="B162" s="8" t="s">
        <v>70</v>
      </c>
      <c r="C162" s="9">
        <v>45805</v>
      </c>
      <c r="D162" s="22" t="s">
        <v>4</v>
      </c>
      <c r="E162" s="8" t="s">
        <v>29</v>
      </c>
      <c r="F162" s="8" t="s">
        <v>1</v>
      </c>
      <c r="G162" s="13">
        <v>280</v>
      </c>
      <c r="H162" s="3">
        <v>20.83</v>
      </c>
      <c r="I162" s="12">
        <f>ROUND(テーブル10[[#This Row],[元金額]]*テーブル10[[#This Row],[為替レート]],0)</f>
        <v>5832</v>
      </c>
      <c r="J162" s="8" t="s">
        <v>404</v>
      </c>
      <c r="K162" s="18" t="s">
        <v>39</v>
      </c>
      <c r="L162" s="8" t="s">
        <v>509</v>
      </c>
      <c r="M162" s="29" cm="1">
        <f t="array" ref="M162">-SUMPRODUCT((B$2:B$224=B162)*((C$2:C$224&lt;C162)+(C$2:C$224=C162)*(ROW(G$2:G$224)&lt;=ROW(G162)))*G$2:G$224)</f>
        <v>-158.58763235981496</v>
      </c>
      <c r="N162" s="16" cm="1">
        <f t="array" ref="N162">-SUMPRODUCT((B$2:B$224=B162)*((C$2:C$224&lt;C162)+(C$2:C$224=C162)*(ROW(I$2:I$224)&lt;=ROW(I162)))*I$2:I$224)</f>
        <v>1395</v>
      </c>
      <c r="O162" s="16">
        <f>ROUND(テーブル10[[#This Row],[為替レート]]*テーブル10[[#This Row],[元残高]],0)</f>
        <v>-3303</v>
      </c>
      <c r="P162" s="27">
        <f>テーブル10[[#This Row],[円残高]]-テーブル10[[#This Row],[円残高_時価]]</f>
        <v>4698</v>
      </c>
    </row>
    <row r="163" spans="1:16" ht="18" customHeight="1" x14ac:dyDescent="0.25">
      <c r="A163" s="8" t="s">
        <v>49</v>
      </c>
      <c r="B163" s="8" t="s">
        <v>70</v>
      </c>
      <c r="C163" s="9">
        <v>45807</v>
      </c>
      <c r="D163" s="22" t="s">
        <v>87</v>
      </c>
      <c r="E163" s="8"/>
      <c r="F163" s="8" t="s">
        <v>1</v>
      </c>
      <c r="G163" s="13">
        <f>-200000/21.29</f>
        <v>-9394.0817285110388</v>
      </c>
      <c r="H163" s="3">
        <v>21.29</v>
      </c>
      <c r="I163" s="12">
        <f>ROUND(テーブル10[[#This Row],[元金額]]*テーブル10[[#This Row],[為替レート]],0)</f>
        <v>-200000</v>
      </c>
      <c r="J163" s="8"/>
      <c r="K163" s="18"/>
      <c r="L163" s="8" t="s">
        <v>510</v>
      </c>
      <c r="M163" s="29" cm="1">
        <f t="array" ref="M163">-SUMPRODUCT((B$2:B$224=B163)*((C$2:C$224&lt;C163)+(C$2:C$224=C163)*(ROW(G$2:G$224)&lt;=ROW(G163)))*G$2:G$224)</f>
        <v>9235.4940961512239</v>
      </c>
      <c r="N163" s="16" cm="1">
        <f t="array" ref="N163">-SUMPRODUCT((B$2:B$224=B163)*((C$2:C$224&lt;C163)+(C$2:C$224=C163)*(ROW(I$2:I$224)&lt;=ROW(I163)))*I$2:I$224)</f>
        <v>201395</v>
      </c>
      <c r="O163" s="16">
        <f>ROUND(テーブル10[[#This Row],[為替レート]]*テーブル10[[#This Row],[元残高]],0)</f>
        <v>196624</v>
      </c>
      <c r="P163" s="27">
        <f>テーブル10[[#This Row],[円残高]]-テーブル10[[#This Row],[円残高_時価]]</f>
        <v>4771</v>
      </c>
    </row>
    <row r="164" spans="1:16" ht="18" customHeight="1" x14ac:dyDescent="0.25">
      <c r="A164" s="8" t="s">
        <v>49</v>
      </c>
      <c r="B164" s="8" t="s">
        <v>70</v>
      </c>
      <c r="C164" s="9">
        <v>45807</v>
      </c>
      <c r="D164" s="24" t="s">
        <v>63</v>
      </c>
      <c r="E164" s="8"/>
      <c r="F164" s="8" t="s">
        <v>1</v>
      </c>
      <c r="G164" s="13">
        <f>-G163*0.02</f>
        <v>187.88163457022077</v>
      </c>
      <c r="H164" s="3">
        <v>21.29</v>
      </c>
      <c r="I164" s="12">
        <f>ROUND(テーブル10[[#This Row],[元金額]]*テーブル10[[#This Row],[為替レート]],0)</f>
        <v>4000</v>
      </c>
      <c r="J164" s="8"/>
      <c r="K164" s="18"/>
      <c r="L164" s="8" t="s">
        <v>511</v>
      </c>
      <c r="M164" s="29" cm="1">
        <f t="array" ref="M164">-SUMPRODUCT((B$2:B$224=B164)*((C$2:C$224&lt;C164)+(C$2:C$224=C164)*(ROW(G$2:G$224)&lt;=ROW(G164)))*G$2:G$224)</f>
        <v>9047.6124615810022</v>
      </c>
      <c r="N164" s="16" cm="1">
        <f t="array" ref="N164">-SUMPRODUCT((B$2:B$224=B164)*((C$2:C$224&lt;C164)+(C$2:C$224=C164)*(ROW(I$2:I$224)&lt;=ROW(I164)))*I$2:I$224)</f>
        <v>197395</v>
      </c>
      <c r="O164" s="16">
        <f>ROUND(テーブル10[[#This Row],[為替レート]]*テーブル10[[#This Row],[元残高]],0)</f>
        <v>192624</v>
      </c>
      <c r="P164" s="27">
        <f>テーブル10[[#This Row],[円残高]]-テーブル10[[#This Row],[円残高_時価]]</f>
        <v>4771</v>
      </c>
    </row>
    <row r="165" spans="1:16" ht="18" customHeight="1" x14ac:dyDescent="0.25">
      <c r="A165" s="8" t="s">
        <v>49</v>
      </c>
      <c r="B165" s="8" t="s">
        <v>70</v>
      </c>
      <c r="C165" s="9">
        <v>45827</v>
      </c>
      <c r="D165" s="22" t="s">
        <v>24</v>
      </c>
      <c r="E165" s="8"/>
      <c r="F165" s="8" t="s">
        <v>1</v>
      </c>
      <c r="G165" s="13">
        <v>82</v>
      </c>
      <c r="H165" s="3">
        <v>21.29</v>
      </c>
      <c r="I165" s="12">
        <f>ROUND(テーブル10[[#This Row],[元金額]]*テーブル10[[#This Row],[為替レート]],0)</f>
        <v>1746</v>
      </c>
      <c r="J165" s="8" t="s">
        <v>403</v>
      </c>
      <c r="K165" s="18">
        <v>26020159266</v>
      </c>
      <c r="L165" s="8" t="s">
        <v>512</v>
      </c>
      <c r="M165" s="29" cm="1">
        <f t="array" ref="M165">-SUMPRODUCT((B$2:B$224=B165)*((C$2:C$224&lt;C165)+(C$2:C$224=C165)*(ROW(G$2:G$224)&lt;=ROW(G165)))*G$2:G$224)</f>
        <v>8965.6124615810022</v>
      </c>
      <c r="N165" s="16" cm="1">
        <f t="array" ref="N165">-SUMPRODUCT((B$2:B$224=B165)*((C$2:C$224&lt;C165)+(C$2:C$224=C165)*(ROW(I$2:I$224)&lt;=ROW(I165)))*I$2:I$224)</f>
        <v>195649</v>
      </c>
      <c r="O165" s="16">
        <f>ROUND(テーブル10[[#This Row],[為替レート]]*テーブル10[[#This Row],[元残高]],0)</f>
        <v>190878</v>
      </c>
      <c r="P165" s="27">
        <f>テーブル10[[#This Row],[円残高]]-テーブル10[[#This Row],[円残高_時価]]</f>
        <v>4771</v>
      </c>
    </row>
    <row r="166" spans="1:16" ht="18" customHeight="1" x14ac:dyDescent="0.25">
      <c r="A166" s="8" t="s">
        <v>49</v>
      </c>
      <c r="B166" s="8" t="s">
        <v>70</v>
      </c>
      <c r="C166" s="9">
        <v>45828</v>
      </c>
      <c r="D166" s="22" t="s">
        <v>4</v>
      </c>
      <c r="E166" s="8" t="s">
        <v>29</v>
      </c>
      <c r="F166" s="8" t="s">
        <v>1</v>
      </c>
      <c r="G166" s="13">
        <v>11880</v>
      </c>
      <c r="H166" s="3">
        <v>21.29</v>
      </c>
      <c r="I166" s="12">
        <f>ROUND(テーブル10[[#This Row],[元金額]]*テーブル10[[#This Row],[為替レート]],0)</f>
        <v>252925</v>
      </c>
      <c r="J166" s="8" t="s">
        <v>404</v>
      </c>
      <c r="K166" s="18" t="s">
        <v>40</v>
      </c>
      <c r="L166" s="8" t="s">
        <v>513</v>
      </c>
      <c r="M166" s="29" cm="1">
        <f t="array" ref="M166">-SUMPRODUCT((B$2:B$224=B166)*((C$2:C$224&lt;C166)+(C$2:C$224=C166)*(ROW(G$2:G$224)&lt;=ROW(G166)))*G$2:G$224)</f>
        <v>-2914.3875384189978</v>
      </c>
      <c r="N166" s="16" cm="1">
        <f t="array" ref="N166">-SUMPRODUCT((B$2:B$224=B166)*((C$2:C$224&lt;C166)+(C$2:C$224=C166)*(ROW(I$2:I$224)&lt;=ROW(I166)))*I$2:I$224)</f>
        <v>-57276</v>
      </c>
      <c r="O166" s="16">
        <f>ROUND(テーブル10[[#This Row],[為替レート]]*テーブル10[[#This Row],[元残高]],0)</f>
        <v>-62047</v>
      </c>
      <c r="P166" s="27">
        <f>テーブル10[[#This Row],[円残高]]-テーブル10[[#This Row],[円残高_時価]]</f>
        <v>4771</v>
      </c>
    </row>
    <row r="167" spans="1:16" ht="18" customHeight="1" x14ac:dyDescent="0.25">
      <c r="A167" s="8" t="s">
        <v>49</v>
      </c>
      <c r="B167" s="8" t="s">
        <v>70</v>
      </c>
      <c r="C167" s="9">
        <v>45828</v>
      </c>
      <c r="D167" s="22" t="s">
        <v>90</v>
      </c>
      <c r="E167" s="8"/>
      <c r="F167" s="8" t="s">
        <v>1</v>
      </c>
      <c r="G167" s="13">
        <f>-200000/21.54</f>
        <v>-9285.0510677808725</v>
      </c>
      <c r="H167" s="3">
        <v>21.54</v>
      </c>
      <c r="I167" s="12">
        <f>ROUND(テーブル10[[#This Row],[元金額]]*テーブル10[[#This Row],[為替レート]],0)</f>
        <v>-200000</v>
      </c>
      <c r="J167" s="8"/>
      <c r="K167" s="18"/>
      <c r="L167" s="8" t="s">
        <v>514</v>
      </c>
      <c r="M167" s="29" cm="1">
        <f t="array" ref="M167">-SUMPRODUCT((B$2:B$224=B167)*((C$2:C$224&lt;C167)+(C$2:C$224=C167)*(ROW(G$2:G$224)&lt;=ROW(G167)))*G$2:G$224)</f>
        <v>6370.6635293618747</v>
      </c>
      <c r="N167" s="16" cm="1">
        <f t="array" ref="N167">-SUMPRODUCT((B$2:B$224=B167)*((C$2:C$224&lt;C167)+(C$2:C$224=C167)*(ROW(I$2:I$224)&lt;=ROW(I167)))*I$2:I$224)</f>
        <v>142724</v>
      </c>
      <c r="O167" s="16">
        <f>ROUND(テーブル10[[#This Row],[為替レート]]*テーブル10[[#This Row],[元残高]],0)</f>
        <v>137224</v>
      </c>
      <c r="P167" s="27">
        <f>テーブル10[[#This Row],[円残高]]-テーブル10[[#This Row],[円残高_時価]]</f>
        <v>5500</v>
      </c>
    </row>
    <row r="168" spans="1:16" ht="18" customHeight="1" x14ac:dyDescent="0.25">
      <c r="A168" s="8" t="s">
        <v>49</v>
      </c>
      <c r="B168" s="8" t="s">
        <v>70</v>
      </c>
      <c r="C168" s="9">
        <v>45828</v>
      </c>
      <c r="D168" s="24" t="s">
        <v>63</v>
      </c>
      <c r="E168" s="8"/>
      <c r="F168" s="8" t="s">
        <v>1</v>
      </c>
      <c r="G168" s="13">
        <f>-G167*0.02</f>
        <v>185.70102135561746</v>
      </c>
      <c r="H168" s="3">
        <v>21.54</v>
      </c>
      <c r="I168" s="12">
        <f>ROUND(テーブル10[[#This Row],[元金額]]*テーブル10[[#This Row],[為替レート]],0)</f>
        <v>4000</v>
      </c>
      <c r="J168" s="8"/>
      <c r="K168" s="18"/>
      <c r="L168" s="8" t="s">
        <v>515</v>
      </c>
      <c r="M168" s="29" cm="1">
        <f t="array" ref="M168">-SUMPRODUCT((B$2:B$224=B168)*((C$2:C$224&lt;C168)+(C$2:C$224=C168)*(ROW(G$2:G$224)&lt;=ROW(G168)))*G$2:G$224)</f>
        <v>6184.9625080062569</v>
      </c>
      <c r="N168" s="16" cm="1">
        <f t="array" ref="N168">-SUMPRODUCT((B$2:B$224=B168)*((C$2:C$224&lt;C168)+(C$2:C$224=C168)*(ROW(I$2:I$224)&lt;=ROW(I168)))*I$2:I$224)</f>
        <v>138724</v>
      </c>
      <c r="O168" s="16">
        <f>ROUND(テーブル10[[#This Row],[為替レート]]*テーブル10[[#This Row],[元残高]],0)</f>
        <v>133224</v>
      </c>
      <c r="P168" s="27">
        <f>テーブル10[[#This Row],[円残高]]-テーブル10[[#This Row],[円残高_時価]]</f>
        <v>5500</v>
      </c>
    </row>
    <row r="169" spans="1:16" ht="18" customHeight="1" x14ac:dyDescent="0.25">
      <c r="A169" s="8" t="s">
        <v>49</v>
      </c>
      <c r="B169" s="8" t="s">
        <v>70</v>
      </c>
      <c r="C169" s="9">
        <v>45838</v>
      </c>
      <c r="D169" s="22" t="s">
        <v>4</v>
      </c>
      <c r="E169" s="8" t="s">
        <v>430</v>
      </c>
      <c r="F169" s="8" t="s">
        <v>1</v>
      </c>
      <c r="G169" s="13">
        <v>562.5</v>
      </c>
      <c r="H169" s="3">
        <v>21.54</v>
      </c>
      <c r="I169" s="12">
        <f>ROUND(テーブル10[[#This Row],[元金額]]*テーブル10[[#This Row],[為替レート]],0)</f>
        <v>12116</v>
      </c>
      <c r="J169" s="8" t="s">
        <v>404</v>
      </c>
      <c r="K169" s="18" t="s">
        <v>38</v>
      </c>
      <c r="L169" s="8" t="s">
        <v>517</v>
      </c>
      <c r="M169" s="29" cm="1">
        <f t="array" ref="M169">-SUMPRODUCT((B$2:B$224=B169)*((C$2:C$224&lt;C169)+(C$2:C$224=C169)*(ROW(G$2:G$224)&lt;=ROW(G169)))*G$2:G$224)</f>
        <v>5622.4625080062569</v>
      </c>
      <c r="N169" s="16" cm="1">
        <f t="array" ref="N169">-SUMPRODUCT((B$2:B$224=B169)*((C$2:C$224&lt;C169)+(C$2:C$224=C169)*(ROW(I$2:I$224)&lt;=ROW(I169)))*I$2:I$224)</f>
        <v>126608</v>
      </c>
      <c r="O169" s="16">
        <f>ROUND(テーブル10[[#This Row],[為替レート]]*テーブル10[[#This Row],[元残高]],0)</f>
        <v>121108</v>
      </c>
      <c r="P169" s="27">
        <f>テーブル10[[#This Row],[円残高]]-テーブル10[[#This Row],[円残高_時価]]</f>
        <v>5500</v>
      </c>
    </row>
    <row r="170" spans="1:16" ht="18" customHeight="1" x14ac:dyDescent="0.25">
      <c r="A170" s="8" t="s">
        <v>49</v>
      </c>
      <c r="B170" s="8" t="s">
        <v>70</v>
      </c>
      <c r="C170" s="9">
        <v>45839</v>
      </c>
      <c r="D170" s="22" t="s">
        <v>4</v>
      </c>
      <c r="E170" s="8" t="s">
        <v>430</v>
      </c>
      <c r="F170" s="8" t="s">
        <v>1</v>
      </c>
      <c r="G170" s="13">
        <v>325</v>
      </c>
      <c r="H170" s="3">
        <v>21.54</v>
      </c>
      <c r="I170" s="12">
        <f>ROUND(テーブル10[[#This Row],[元金額]]*テーブル10[[#This Row],[為替レート]],0)</f>
        <v>7001</v>
      </c>
      <c r="J170" s="8" t="s">
        <v>404</v>
      </c>
      <c r="K170" s="18" t="s">
        <v>38</v>
      </c>
      <c r="L170" s="8" t="s">
        <v>518</v>
      </c>
      <c r="M170" s="29" cm="1">
        <f t="array" ref="M170">-SUMPRODUCT((B$2:B$224=B170)*((C$2:C$224&lt;C170)+(C$2:C$224=C170)*(ROW(G$2:G$224)&lt;=ROW(G170)))*G$2:G$224)</f>
        <v>5297.4625080062569</v>
      </c>
      <c r="N170" s="16" cm="1">
        <f t="array" ref="N170">-SUMPRODUCT((B$2:B$224=B170)*((C$2:C$224&lt;C170)+(C$2:C$224=C170)*(ROW(I$2:I$224)&lt;=ROW(I170)))*I$2:I$224)</f>
        <v>119607</v>
      </c>
      <c r="O170" s="16">
        <f>ROUND(テーブル10[[#This Row],[為替レート]]*テーブル10[[#This Row],[元残高]],0)</f>
        <v>114107</v>
      </c>
      <c r="P170" s="27">
        <f>テーブル10[[#This Row],[円残高]]-テーブル10[[#This Row],[円残高_時価]]</f>
        <v>5500</v>
      </c>
    </row>
    <row r="171" spans="1:16" ht="18" customHeight="1" x14ac:dyDescent="0.25">
      <c r="A171" s="8" t="s">
        <v>49</v>
      </c>
      <c r="B171" s="8" t="s">
        <v>70</v>
      </c>
      <c r="C171" s="9">
        <v>45840</v>
      </c>
      <c r="D171" s="22" t="s">
        <v>4</v>
      </c>
      <c r="E171" s="8" t="s">
        <v>430</v>
      </c>
      <c r="F171" s="8" t="s">
        <v>1</v>
      </c>
      <c r="G171" s="13">
        <v>150</v>
      </c>
      <c r="H171" s="3">
        <v>21.54</v>
      </c>
      <c r="I171" s="12">
        <f>ROUND(テーブル10[[#This Row],[元金額]]*テーブル10[[#This Row],[為替レート]],0)</f>
        <v>3231</v>
      </c>
      <c r="J171" s="8" t="s">
        <v>404</v>
      </c>
      <c r="K171" s="18" t="s">
        <v>38</v>
      </c>
      <c r="L171" s="8" t="s">
        <v>519</v>
      </c>
      <c r="M171" s="29" cm="1">
        <f t="array" ref="M171">-SUMPRODUCT((B$2:B$224=B171)*((C$2:C$224&lt;C171)+(C$2:C$224=C171)*(ROW(G$2:G$224)&lt;=ROW(G171)))*G$2:G$224)</f>
        <v>5147.4625080062569</v>
      </c>
      <c r="N171" s="16" cm="1">
        <f t="array" ref="N171">-SUMPRODUCT((B$2:B$224=B171)*((C$2:C$224&lt;C171)+(C$2:C$224=C171)*(ROW(I$2:I$224)&lt;=ROW(I171)))*I$2:I$224)</f>
        <v>116376</v>
      </c>
      <c r="O171" s="16">
        <f>ROUND(テーブル10[[#This Row],[為替レート]]*テーブル10[[#This Row],[元残高]],0)</f>
        <v>110876</v>
      </c>
      <c r="P171" s="27">
        <f>テーブル10[[#This Row],[円残高]]-テーブル10[[#This Row],[円残高_時価]]</f>
        <v>5500</v>
      </c>
    </row>
    <row r="172" spans="1:16" ht="18" customHeight="1" x14ac:dyDescent="0.25">
      <c r="A172" s="8" t="s">
        <v>49</v>
      </c>
      <c r="B172" s="8" t="s">
        <v>70</v>
      </c>
      <c r="C172" s="9">
        <v>45841</v>
      </c>
      <c r="D172" s="22" t="s">
        <v>4</v>
      </c>
      <c r="E172" s="8" t="s">
        <v>430</v>
      </c>
      <c r="F172" s="8" t="s">
        <v>1</v>
      </c>
      <c r="G172" s="13">
        <v>37.5</v>
      </c>
      <c r="H172" s="3">
        <v>21.54</v>
      </c>
      <c r="I172" s="12">
        <f>ROUND(テーブル10[[#This Row],[元金額]]*テーブル10[[#This Row],[為替レート]],0)</f>
        <v>808</v>
      </c>
      <c r="J172" s="8" t="s">
        <v>404</v>
      </c>
      <c r="K172" s="18" t="s">
        <v>38</v>
      </c>
      <c r="L172" s="8" t="s">
        <v>520</v>
      </c>
      <c r="M172" s="29" cm="1">
        <f t="array" ref="M172">-SUMPRODUCT((B$2:B$224=B172)*((C$2:C$224&lt;C172)+(C$2:C$224=C172)*(ROW(G$2:G$224)&lt;=ROW(G172)))*G$2:G$224)</f>
        <v>5109.9625080062569</v>
      </c>
      <c r="N172" s="16" cm="1">
        <f t="array" ref="N172">-SUMPRODUCT((B$2:B$224=B172)*((C$2:C$224&lt;C172)+(C$2:C$224=C172)*(ROW(I$2:I$224)&lt;=ROW(I172)))*I$2:I$224)</f>
        <v>115568</v>
      </c>
      <c r="O172" s="16">
        <f>ROUND(テーブル10[[#This Row],[為替レート]]*テーブル10[[#This Row],[元残高]],0)</f>
        <v>110069</v>
      </c>
      <c r="P172" s="27">
        <f>テーブル10[[#This Row],[円残高]]-テーブル10[[#This Row],[円残高_時価]]</f>
        <v>5499</v>
      </c>
    </row>
    <row r="173" spans="1:16" ht="18" customHeight="1" x14ac:dyDescent="0.25">
      <c r="A173" s="8" t="s">
        <v>49</v>
      </c>
      <c r="B173" s="8" t="s">
        <v>70</v>
      </c>
      <c r="C173" s="9">
        <v>45853</v>
      </c>
      <c r="D173" s="22" t="s">
        <v>4</v>
      </c>
      <c r="E173" s="8" t="s">
        <v>10</v>
      </c>
      <c r="F173" s="8" t="s">
        <v>1</v>
      </c>
      <c r="G173" s="13">
        <v>340.5</v>
      </c>
      <c r="H173" s="3">
        <v>21.54</v>
      </c>
      <c r="I173" s="12">
        <f>ROUND(テーブル10[[#This Row],[元金額]]*テーブル10[[#This Row],[為替レート]],0)</f>
        <v>7334</v>
      </c>
      <c r="J173" s="8" t="s">
        <v>403</v>
      </c>
      <c r="K173" s="18" t="s">
        <v>41</v>
      </c>
      <c r="L173" s="8" t="s">
        <v>521</v>
      </c>
      <c r="M173" s="29" cm="1">
        <f t="array" ref="M173">-SUMPRODUCT((B$2:B$224=B173)*((C$2:C$224&lt;C173)+(C$2:C$224=C173)*(ROW(G$2:G$224)&lt;=ROW(G173)))*G$2:G$224)</f>
        <v>4769.4625080062569</v>
      </c>
      <c r="N173" s="16" cm="1">
        <f t="array" ref="N173">-SUMPRODUCT((B$2:B$224=B173)*((C$2:C$224&lt;C173)+(C$2:C$224=C173)*(ROW(I$2:I$224)&lt;=ROW(I173)))*I$2:I$224)</f>
        <v>108234</v>
      </c>
      <c r="O173" s="16">
        <f>ROUND(テーブル10[[#This Row],[為替レート]]*テーブル10[[#This Row],[元残高]],0)</f>
        <v>102734</v>
      </c>
      <c r="P173" s="27">
        <f>テーブル10[[#This Row],[円残高]]-テーブル10[[#This Row],[円残高_時価]]</f>
        <v>5500</v>
      </c>
    </row>
    <row r="174" spans="1:16" ht="18" customHeight="1" x14ac:dyDescent="0.25">
      <c r="A174" s="8" t="s">
        <v>49</v>
      </c>
      <c r="B174" s="8" t="s">
        <v>70</v>
      </c>
      <c r="C174" s="9">
        <v>45854</v>
      </c>
      <c r="D174" s="22" t="s">
        <v>4</v>
      </c>
      <c r="E174" s="8" t="s">
        <v>69</v>
      </c>
      <c r="F174" s="8" t="s">
        <v>1</v>
      </c>
      <c r="G174" s="13">
        <v>22</v>
      </c>
      <c r="H174" s="3">
        <v>21.54</v>
      </c>
      <c r="I174" s="12">
        <f>ROUND(テーブル10[[#This Row],[元金額]]*テーブル10[[#This Row],[為替レート]],0)</f>
        <v>474</v>
      </c>
      <c r="J174" s="8" t="s">
        <v>404</v>
      </c>
      <c r="K174" s="18" t="s">
        <v>38</v>
      </c>
      <c r="L174" s="8" t="s">
        <v>522</v>
      </c>
      <c r="M174" s="29" cm="1">
        <f t="array" ref="M174">-SUMPRODUCT((B$2:B$224=B174)*((C$2:C$224&lt;C174)+(C$2:C$224=C174)*(ROW(G$2:G$224)&lt;=ROW(G174)))*G$2:G$224)</f>
        <v>4747.4625080062569</v>
      </c>
      <c r="N174" s="16" cm="1">
        <f t="array" ref="N174">-SUMPRODUCT((B$2:B$224=B174)*((C$2:C$224&lt;C174)+(C$2:C$224=C174)*(ROW(I$2:I$224)&lt;=ROW(I174)))*I$2:I$224)</f>
        <v>107760</v>
      </c>
      <c r="O174" s="16">
        <f>ROUND(テーブル10[[#This Row],[為替レート]]*テーブル10[[#This Row],[元残高]],0)</f>
        <v>102260</v>
      </c>
      <c r="P174" s="27">
        <f>テーブル10[[#This Row],[円残高]]-テーブル10[[#This Row],[円残高_時価]]</f>
        <v>5500</v>
      </c>
    </row>
    <row r="175" spans="1:16" ht="18" customHeight="1" x14ac:dyDescent="0.25">
      <c r="A175" s="8" t="s">
        <v>49</v>
      </c>
      <c r="B175" s="8" t="s">
        <v>70</v>
      </c>
      <c r="C175" s="9">
        <v>45854</v>
      </c>
      <c r="D175" s="22" t="s">
        <v>4</v>
      </c>
      <c r="E175" s="8" t="s">
        <v>69</v>
      </c>
      <c r="F175" s="8" t="s">
        <v>1</v>
      </c>
      <c r="G175" s="13">
        <v>18</v>
      </c>
      <c r="H175" s="3">
        <v>21.54</v>
      </c>
      <c r="I175" s="12">
        <f>ROUND(テーブル10[[#This Row],[元金額]]*テーブル10[[#This Row],[為替レート]],0)</f>
        <v>388</v>
      </c>
      <c r="J175" s="8" t="s">
        <v>404</v>
      </c>
      <c r="K175" s="18" t="s">
        <v>40</v>
      </c>
      <c r="L175" s="8" t="s">
        <v>523</v>
      </c>
      <c r="M175" s="29" cm="1">
        <f t="array" ref="M175">-SUMPRODUCT((B$2:B$224=B175)*((C$2:C$224&lt;C175)+(C$2:C$224=C175)*(ROW(G$2:G$224)&lt;=ROW(G175)))*G$2:G$224)</f>
        <v>4729.4625080062569</v>
      </c>
      <c r="N175" s="16" cm="1">
        <f t="array" ref="N175">-SUMPRODUCT((B$2:B$224=B175)*((C$2:C$224&lt;C175)+(C$2:C$224=C175)*(ROW(I$2:I$224)&lt;=ROW(I175)))*I$2:I$224)</f>
        <v>107372</v>
      </c>
      <c r="O175" s="16">
        <f>ROUND(テーブル10[[#This Row],[為替レート]]*テーブル10[[#This Row],[元残高]],0)</f>
        <v>101873</v>
      </c>
      <c r="P175" s="27">
        <f>テーブル10[[#This Row],[円残高]]-テーブル10[[#This Row],[円残高_時価]]</f>
        <v>5499</v>
      </c>
    </row>
    <row r="176" spans="1:16" ht="18" customHeight="1" x14ac:dyDescent="0.25">
      <c r="A176" s="8" t="s">
        <v>49</v>
      </c>
      <c r="B176" s="8" t="s">
        <v>70</v>
      </c>
      <c r="C176" s="9">
        <v>45873</v>
      </c>
      <c r="D176" s="22" t="s">
        <v>4</v>
      </c>
      <c r="E176" s="8" t="s">
        <v>430</v>
      </c>
      <c r="F176" s="8" t="s">
        <v>1</v>
      </c>
      <c r="G176" s="13">
        <v>500</v>
      </c>
      <c r="H176" s="3">
        <v>21.54</v>
      </c>
      <c r="I176" s="12">
        <f>ROUND(テーブル10[[#This Row],[元金額]]*テーブル10[[#This Row],[為替レート]],0)</f>
        <v>10770</v>
      </c>
      <c r="J176" s="8" t="s">
        <v>404</v>
      </c>
      <c r="K176" s="18" t="s">
        <v>40</v>
      </c>
      <c r="L176" s="8" t="s">
        <v>524</v>
      </c>
      <c r="M176" s="29" cm="1">
        <f t="array" ref="M176">-SUMPRODUCT((B$2:B$224=B176)*((C$2:C$224&lt;C176)+(C$2:C$224=C176)*(ROW(G$2:G$224)&lt;=ROW(G176)))*G$2:G$224)</f>
        <v>4229.4625080062569</v>
      </c>
      <c r="N176" s="16" cm="1">
        <f t="array" ref="N176">-SUMPRODUCT((B$2:B$224=B176)*((C$2:C$224&lt;C176)+(C$2:C$224=C176)*(ROW(I$2:I$224)&lt;=ROW(I176)))*I$2:I$224)</f>
        <v>96602</v>
      </c>
      <c r="O176" s="16">
        <f>ROUND(テーブル10[[#This Row],[為替レート]]*テーブル10[[#This Row],[元残高]],0)</f>
        <v>91103</v>
      </c>
      <c r="P176" s="27">
        <f>テーブル10[[#This Row],[円残高]]-テーブル10[[#This Row],[円残高_時価]]</f>
        <v>5499</v>
      </c>
    </row>
    <row r="177" spans="1:16" ht="18" customHeight="1" x14ac:dyDescent="0.25">
      <c r="A177" s="8" t="s">
        <v>49</v>
      </c>
      <c r="B177" s="8" t="s">
        <v>70</v>
      </c>
      <c r="C177" s="9">
        <v>45874</v>
      </c>
      <c r="D177" s="22" t="s">
        <v>4</v>
      </c>
      <c r="E177" s="8" t="s">
        <v>430</v>
      </c>
      <c r="F177" s="8" t="s">
        <v>1</v>
      </c>
      <c r="G177" s="13">
        <v>962.5</v>
      </c>
      <c r="H177" s="3">
        <v>21.54</v>
      </c>
      <c r="I177" s="12">
        <f>ROUND(テーブル10[[#This Row],[元金額]]*テーブル10[[#This Row],[為替レート]],0)</f>
        <v>20732</v>
      </c>
      <c r="J177" s="8" t="s">
        <v>404</v>
      </c>
      <c r="K177" s="18" t="s">
        <v>40</v>
      </c>
      <c r="L177" s="8" t="s">
        <v>525</v>
      </c>
      <c r="M177" s="29" cm="1">
        <f t="array" ref="M177">-SUMPRODUCT((B$2:B$224=B177)*((C$2:C$224&lt;C177)+(C$2:C$224=C177)*(ROW(G$2:G$224)&lt;=ROW(G177)))*G$2:G$224)</f>
        <v>3266.9625080062569</v>
      </c>
      <c r="N177" s="16" cm="1">
        <f t="array" ref="N177">-SUMPRODUCT((B$2:B$224=B177)*((C$2:C$224&lt;C177)+(C$2:C$224=C177)*(ROW(I$2:I$224)&lt;=ROW(I177)))*I$2:I$224)</f>
        <v>75870</v>
      </c>
      <c r="O177" s="16">
        <f>ROUND(テーブル10[[#This Row],[為替レート]]*テーブル10[[#This Row],[元残高]],0)</f>
        <v>70370</v>
      </c>
      <c r="P177" s="27">
        <f>テーブル10[[#This Row],[円残高]]-テーブル10[[#This Row],[円残高_時価]]</f>
        <v>5500</v>
      </c>
    </row>
    <row r="178" spans="1:16" ht="18" customHeight="1" x14ac:dyDescent="0.25">
      <c r="A178" s="8" t="s">
        <v>49</v>
      </c>
      <c r="B178" s="8" t="s">
        <v>70</v>
      </c>
      <c r="C178" s="9">
        <v>45875</v>
      </c>
      <c r="D178" s="22" t="s">
        <v>4</v>
      </c>
      <c r="E178" s="8" t="s">
        <v>430</v>
      </c>
      <c r="F178" s="8" t="s">
        <v>1</v>
      </c>
      <c r="G178" s="13">
        <v>125</v>
      </c>
      <c r="H178" s="3">
        <v>21.54</v>
      </c>
      <c r="I178" s="12">
        <f>ROUND(テーブル10[[#This Row],[元金額]]*テーブル10[[#This Row],[為替レート]],0)</f>
        <v>2693</v>
      </c>
      <c r="J178" s="8" t="s">
        <v>404</v>
      </c>
      <c r="K178" s="18" t="s">
        <v>40</v>
      </c>
      <c r="L178" s="8" t="s">
        <v>526</v>
      </c>
      <c r="M178" s="29" cm="1">
        <f t="array" ref="M178">-SUMPRODUCT((B$2:B$224=B178)*((C$2:C$224&lt;C178)+(C$2:C$224=C178)*(ROW(G$2:G$224)&lt;=ROW(G178)))*G$2:G$224)</f>
        <v>3141.9625080062569</v>
      </c>
      <c r="N178" s="16" cm="1">
        <f t="array" ref="N178">-SUMPRODUCT((B$2:B$224=B178)*((C$2:C$224&lt;C178)+(C$2:C$224=C178)*(ROW(I$2:I$224)&lt;=ROW(I178)))*I$2:I$224)</f>
        <v>73177</v>
      </c>
      <c r="O178" s="16">
        <f>ROUND(テーブル10[[#This Row],[為替レート]]*テーブル10[[#This Row],[元残高]],0)</f>
        <v>67678</v>
      </c>
      <c r="P178" s="27">
        <f>テーブル10[[#This Row],[円残高]]-テーブル10[[#This Row],[円残高_時価]]</f>
        <v>5499</v>
      </c>
    </row>
    <row r="179" spans="1:16" ht="18" customHeight="1" x14ac:dyDescent="0.25">
      <c r="A179" s="8" t="s">
        <v>49</v>
      </c>
      <c r="B179" s="8" t="s">
        <v>70</v>
      </c>
      <c r="C179" s="9">
        <v>45884</v>
      </c>
      <c r="D179" s="22" t="s">
        <v>4</v>
      </c>
      <c r="E179" s="8" t="s">
        <v>10</v>
      </c>
      <c r="F179" s="8" t="s">
        <v>1</v>
      </c>
      <c r="G179" s="13">
        <v>351</v>
      </c>
      <c r="H179" s="3">
        <v>21.54</v>
      </c>
      <c r="I179" s="12">
        <f>ROUND(テーブル10[[#This Row],[元金額]]*テーブル10[[#This Row],[為替レート]],0)</f>
        <v>7561</v>
      </c>
      <c r="J179" s="8" t="s">
        <v>403</v>
      </c>
      <c r="K179" s="18" t="s">
        <v>42</v>
      </c>
      <c r="L179" s="8" t="s">
        <v>527</v>
      </c>
      <c r="M179" s="29" cm="1">
        <f t="array" ref="M179">-SUMPRODUCT((B$2:B$224=B179)*((C$2:C$224&lt;C179)+(C$2:C$224=C179)*(ROW(G$2:G$224)&lt;=ROW(G179)))*G$2:G$224)</f>
        <v>2790.9625080062569</v>
      </c>
      <c r="N179" s="16" cm="1">
        <f t="array" ref="N179">-SUMPRODUCT((B$2:B$224=B179)*((C$2:C$224&lt;C179)+(C$2:C$224=C179)*(ROW(I$2:I$224)&lt;=ROW(I179)))*I$2:I$224)</f>
        <v>65616</v>
      </c>
      <c r="O179" s="16">
        <f>ROUND(テーブル10[[#This Row],[為替レート]]*テーブル10[[#This Row],[元残高]],0)</f>
        <v>60117</v>
      </c>
      <c r="P179" s="27">
        <f>テーブル10[[#This Row],[円残高]]-テーブル10[[#This Row],[円残高_時価]]</f>
        <v>5499</v>
      </c>
    </row>
    <row r="180" spans="1:16" ht="18" customHeight="1" x14ac:dyDescent="0.25">
      <c r="A180" s="8" t="s">
        <v>49</v>
      </c>
      <c r="B180" s="8" t="s">
        <v>70</v>
      </c>
      <c r="C180" s="9">
        <v>45888</v>
      </c>
      <c r="D180" s="22" t="s">
        <v>24</v>
      </c>
      <c r="E180" s="8"/>
      <c r="F180" s="8" t="s">
        <v>1</v>
      </c>
      <c r="G180" s="13">
        <v>6.1</v>
      </c>
      <c r="H180" s="3">
        <v>21.54</v>
      </c>
      <c r="I180" s="12">
        <f>ROUND(テーブル10[[#This Row],[元金額]]*テーブル10[[#This Row],[為替レート]],0)</f>
        <v>131</v>
      </c>
      <c r="J180" s="8" t="s">
        <v>404</v>
      </c>
      <c r="K180" s="18" t="s">
        <v>495</v>
      </c>
      <c r="L180" s="8" t="s">
        <v>528</v>
      </c>
      <c r="M180" s="29" cm="1">
        <f t="array" ref="M180">-SUMPRODUCT((B$2:B$224=B180)*((C$2:C$224&lt;C180)+(C$2:C$224=C180)*(ROW(G$2:G$224)&lt;=ROW(G180)))*G$2:G$224)</f>
        <v>2784.862508006257</v>
      </c>
      <c r="N180" s="16" cm="1">
        <f t="array" ref="N180">-SUMPRODUCT((B$2:B$224=B180)*((C$2:C$224&lt;C180)+(C$2:C$224=C180)*(ROW(I$2:I$224)&lt;=ROW(I180)))*I$2:I$224)</f>
        <v>65485</v>
      </c>
      <c r="O180" s="16">
        <f>ROUND(テーブル10[[#This Row],[為替レート]]*テーブル10[[#This Row],[元残高]],0)</f>
        <v>59986</v>
      </c>
      <c r="P180" s="27">
        <f>テーブル10[[#This Row],[円残高]]-テーブル10[[#This Row],[円残高_時価]]</f>
        <v>5499</v>
      </c>
    </row>
    <row r="181" spans="1:16" ht="18" customHeight="1" x14ac:dyDescent="0.25">
      <c r="A181" s="8" t="s">
        <v>49</v>
      </c>
      <c r="B181" s="8" t="s">
        <v>70</v>
      </c>
      <c r="C181" s="9">
        <v>45897</v>
      </c>
      <c r="D181" s="22" t="s">
        <v>24</v>
      </c>
      <c r="E181" s="8"/>
      <c r="F181" s="8" t="s">
        <v>1</v>
      </c>
      <c r="G181" s="13">
        <v>88.5</v>
      </c>
      <c r="H181" s="3">
        <v>21.54</v>
      </c>
      <c r="I181" s="12">
        <f>ROUND(テーブル10[[#This Row],[元金額]]*テーブル10[[#This Row],[為替レート]],0)</f>
        <v>1906</v>
      </c>
      <c r="J181" s="8" t="s">
        <v>404</v>
      </c>
      <c r="K181" s="18" t="s">
        <v>496</v>
      </c>
      <c r="L181" s="8" t="s">
        <v>529</v>
      </c>
      <c r="M181" s="29" cm="1">
        <f t="array" ref="M181">-SUMPRODUCT((B$2:B$224=B181)*((C$2:C$224&lt;C181)+(C$2:C$224=C181)*(ROW(G$2:G$224)&lt;=ROW(G181)))*G$2:G$224)</f>
        <v>2696.362508006257</v>
      </c>
      <c r="N181" s="16" cm="1">
        <f t="array" ref="N181">-SUMPRODUCT((B$2:B$224=B181)*((C$2:C$224&lt;C181)+(C$2:C$224=C181)*(ROW(I$2:I$224)&lt;=ROW(I181)))*I$2:I$224)</f>
        <v>63579</v>
      </c>
      <c r="O181" s="16">
        <f>ROUND(テーブル10[[#This Row],[為替レート]]*テーブル10[[#This Row],[元残高]],0)</f>
        <v>58080</v>
      </c>
      <c r="P181" s="27">
        <f>テーブル10[[#This Row],[円残高]]-テーブル10[[#This Row],[円残高_時価]]</f>
        <v>5499</v>
      </c>
    </row>
    <row r="182" spans="1:16" ht="18" customHeight="1" x14ac:dyDescent="0.25">
      <c r="A182" s="8" t="s">
        <v>49</v>
      </c>
      <c r="B182" s="8" t="s">
        <v>70</v>
      </c>
      <c r="C182" s="9">
        <v>45897</v>
      </c>
      <c r="D182" s="22" t="s">
        <v>24</v>
      </c>
      <c r="E182" s="8"/>
      <c r="F182" s="8" t="s">
        <v>1</v>
      </c>
      <c r="G182" s="13">
        <v>46</v>
      </c>
      <c r="H182" s="3">
        <v>21.54</v>
      </c>
      <c r="I182" s="12">
        <f>ROUND(テーブル10[[#This Row],[元金額]]*テーブル10[[#This Row],[為替レート]],0)</f>
        <v>991</v>
      </c>
      <c r="J182" s="8" t="s">
        <v>404</v>
      </c>
      <c r="K182" s="18" t="s">
        <v>496</v>
      </c>
      <c r="L182" s="8" t="s">
        <v>530</v>
      </c>
      <c r="M182" s="29" cm="1">
        <f t="array" ref="M182">-SUMPRODUCT((B$2:B$224=B182)*((C$2:C$224&lt;C182)+(C$2:C$224=C182)*(ROW(G$2:G$224)&lt;=ROW(G182)))*G$2:G$224)</f>
        <v>2650.362508006257</v>
      </c>
      <c r="N182" s="16" cm="1">
        <f t="array" ref="N182">-SUMPRODUCT((B$2:B$224=B182)*((C$2:C$224&lt;C182)+(C$2:C$224=C182)*(ROW(I$2:I$224)&lt;=ROW(I182)))*I$2:I$224)</f>
        <v>62588</v>
      </c>
      <c r="O182" s="16">
        <f>ROUND(テーブル10[[#This Row],[為替レート]]*テーブル10[[#This Row],[元残高]],0)</f>
        <v>57089</v>
      </c>
      <c r="P182" s="27">
        <f>テーブル10[[#This Row],[円残高]]-テーブル10[[#This Row],[円残高_時価]]</f>
        <v>5499</v>
      </c>
    </row>
    <row r="183" spans="1:16" ht="18" customHeight="1" x14ac:dyDescent="0.25">
      <c r="A183" s="8" t="s">
        <v>49</v>
      </c>
      <c r="B183" s="8" t="s">
        <v>70</v>
      </c>
      <c r="C183" s="9">
        <v>45897</v>
      </c>
      <c r="D183" s="22" t="s">
        <v>24</v>
      </c>
      <c r="E183" s="8"/>
      <c r="F183" s="8" t="s">
        <v>1</v>
      </c>
      <c r="G183" s="13">
        <v>47</v>
      </c>
      <c r="H183" s="3">
        <v>21.54</v>
      </c>
      <c r="I183" s="12">
        <f>ROUND(テーブル10[[#This Row],[元金額]]*テーブル10[[#This Row],[為替レート]],0)</f>
        <v>1012</v>
      </c>
      <c r="J183" s="8" t="s">
        <v>404</v>
      </c>
      <c r="K183" s="18" t="s">
        <v>496</v>
      </c>
      <c r="L183" s="8" t="s">
        <v>531</v>
      </c>
      <c r="M183" s="29" cm="1">
        <f t="array" ref="M183">-SUMPRODUCT((B$2:B$224=B183)*((C$2:C$224&lt;C183)+(C$2:C$224=C183)*(ROW(G$2:G$224)&lt;=ROW(G183)))*G$2:G$224)</f>
        <v>2603.362508006257</v>
      </c>
      <c r="N183" s="16" cm="1">
        <f t="array" ref="N183">-SUMPRODUCT((B$2:B$224=B183)*((C$2:C$224&lt;C183)+(C$2:C$224=C183)*(ROW(I$2:I$224)&lt;=ROW(I183)))*I$2:I$224)</f>
        <v>61576</v>
      </c>
      <c r="O183" s="16">
        <f>ROUND(テーブル10[[#This Row],[為替レート]]*テーブル10[[#This Row],[元残高]],0)</f>
        <v>56076</v>
      </c>
      <c r="P183" s="27">
        <f>テーブル10[[#This Row],[円残高]]-テーブル10[[#This Row],[円残高_時価]]</f>
        <v>5500</v>
      </c>
    </row>
    <row r="184" spans="1:16" ht="18" customHeight="1" x14ac:dyDescent="0.25">
      <c r="A184" s="8" t="s">
        <v>49</v>
      </c>
      <c r="B184" s="8" t="s">
        <v>70</v>
      </c>
      <c r="C184" s="9">
        <v>45897</v>
      </c>
      <c r="D184" s="22" t="s">
        <v>24</v>
      </c>
      <c r="E184" s="8"/>
      <c r="F184" s="8" t="s">
        <v>1</v>
      </c>
      <c r="G184" s="13">
        <v>182</v>
      </c>
      <c r="H184" s="3">
        <v>21.54</v>
      </c>
      <c r="I184" s="12">
        <f>ROUND(テーブル10[[#This Row],[元金額]]*テーブル10[[#This Row],[為替レート]],0)</f>
        <v>3920</v>
      </c>
      <c r="J184" s="8" t="s">
        <v>404</v>
      </c>
      <c r="K184" s="18" t="s">
        <v>496</v>
      </c>
      <c r="L184" s="8" t="s">
        <v>532</v>
      </c>
      <c r="M184" s="29" cm="1">
        <f t="array" ref="M184">-SUMPRODUCT((B$2:B$224=B184)*((C$2:C$224&lt;C184)+(C$2:C$224=C184)*(ROW(G$2:G$224)&lt;=ROW(G184)))*G$2:G$224)</f>
        <v>2421.362508006257</v>
      </c>
      <c r="N184" s="16" cm="1">
        <f t="array" ref="N184">-SUMPRODUCT((B$2:B$224=B184)*((C$2:C$224&lt;C184)+(C$2:C$224=C184)*(ROW(I$2:I$224)&lt;=ROW(I184)))*I$2:I$224)</f>
        <v>57656</v>
      </c>
      <c r="O184" s="16">
        <f>ROUND(テーブル10[[#This Row],[為替レート]]*テーブル10[[#This Row],[元残高]],0)</f>
        <v>52156</v>
      </c>
      <c r="P184" s="27">
        <f>テーブル10[[#This Row],[円残高]]-テーブル10[[#This Row],[円残高_時価]]</f>
        <v>5500</v>
      </c>
    </row>
    <row r="185" spans="1:16" ht="18" customHeight="1" x14ac:dyDescent="0.25">
      <c r="A185" s="8" t="s">
        <v>49</v>
      </c>
      <c r="B185" s="8" t="s">
        <v>70</v>
      </c>
      <c r="C185" s="9">
        <v>45897</v>
      </c>
      <c r="D185" s="22" t="s">
        <v>24</v>
      </c>
      <c r="E185" s="8"/>
      <c r="F185" s="8" t="s">
        <v>1</v>
      </c>
      <c r="G185" s="13">
        <v>79</v>
      </c>
      <c r="H185" s="3">
        <v>21.54</v>
      </c>
      <c r="I185" s="12">
        <f>ROUND(テーブル10[[#This Row],[元金額]]*テーブル10[[#This Row],[為替レート]],0)</f>
        <v>1702</v>
      </c>
      <c r="J185" s="8" t="s">
        <v>404</v>
      </c>
      <c r="K185" s="18" t="s">
        <v>496</v>
      </c>
      <c r="L185" s="8" t="s">
        <v>533</v>
      </c>
      <c r="M185" s="29" cm="1">
        <f t="array" ref="M185">-SUMPRODUCT((B$2:B$224=B185)*((C$2:C$224&lt;C185)+(C$2:C$224=C185)*(ROW(G$2:G$224)&lt;=ROW(G185)))*G$2:G$224)</f>
        <v>2342.362508006257</v>
      </c>
      <c r="N185" s="16" cm="1">
        <f t="array" ref="N185">-SUMPRODUCT((B$2:B$224=B185)*((C$2:C$224&lt;C185)+(C$2:C$224=C185)*(ROW(I$2:I$224)&lt;=ROW(I185)))*I$2:I$224)</f>
        <v>55954</v>
      </c>
      <c r="O185" s="16">
        <f>ROUND(テーブル10[[#This Row],[為替レート]]*テーブル10[[#This Row],[元残高]],0)</f>
        <v>50454</v>
      </c>
      <c r="P185" s="27">
        <f>テーブル10[[#This Row],[円残高]]-テーブル10[[#This Row],[円残高_時価]]</f>
        <v>5500</v>
      </c>
    </row>
    <row r="186" spans="1:16" ht="18" customHeight="1" x14ac:dyDescent="0.25">
      <c r="A186" s="8" t="s">
        <v>49</v>
      </c>
      <c r="B186" s="8" t="s">
        <v>70</v>
      </c>
      <c r="C186" s="9">
        <v>45901</v>
      </c>
      <c r="D186" s="22" t="s">
        <v>24</v>
      </c>
      <c r="E186" s="8"/>
      <c r="F186" s="8" t="s">
        <v>1</v>
      </c>
      <c r="G186" s="13">
        <v>5.4</v>
      </c>
      <c r="H186" s="3">
        <v>21.54</v>
      </c>
      <c r="I186" s="12">
        <f>ROUND(テーブル10[[#This Row],[元金額]]*テーブル10[[#This Row],[為替レート]],0)</f>
        <v>116</v>
      </c>
      <c r="J186" s="8" t="s">
        <v>404</v>
      </c>
      <c r="K186" s="18" t="s">
        <v>495</v>
      </c>
      <c r="L186" s="8" t="s">
        <v>534</v>
      </c>
      <c r="M186" s="29" cm="1">
        <f t="array" ref="M186">-SUMPRODUCT((B$2:B$224=B186)*((C$2:C$224&lt;C186)+(C$2:C$224=C186)*(ROW(G$2:G$224)&lt;=ROW(G186)))*G$2:G$224)</f>
        <v>2336.9625080062569</v>
      </c>
      <c r="N186" s="16" cm="1">
        <f t="array" ref="N186">-SUMPRODUCT((B$2:B$224=B186)*((C$2:C$224&lt;C186)+(C$2:C$224=C186)*(ROW(I$2:I$224)&lt;=ROW(I186)))*I$2:I$224)</f>
        <v>55838</v>
      </c>
      <c r="O186" s="16">
        <f>ROUND(テーブル10[[#This Row],[為替レート]]*テーブル10[[#This Row],[元残高]],0)</f>
        <v>50338</v>
      </c>
      <c r="P186" s="27">
        <f>テーブル10[[#This Row],[円残高]]-テーブル10[[#This Row],[円残高_時価]]</f>
        <v>5500</v>
      </c>
    </row>
    <row r="187" spans="1:16" ht="18" customHeight="1" x14ac:dyDescent="0.25">
      <c r="A187" s="8" t="s">
        <v>49</v>
      </c>
      <c r="B187" s="8" t="s">
        <v>70</v>
      </c>
      <c r="C187" s="9">
        <v>45917</v>
      </c>
      <c r="D187" s="22" t="s">
        <v>24</v>
      </c>
      <c r="E187" s="8"/>
      <c r="F187" s="8" t="s">
        <v>1</v>
      </c>
      <c r="G187" s="13">
        <v>-41</v>
      </c>
      <c r="H187" s="3">
        <v>21.54</v>
      </c>
      <c r="I187" s="12">
        <f>ROUND(テーブル10[[#This Row],[元金額]]*テーブル10[[#This Row],[為替レート]],0)</f>
        <v>-883</v>
      </c>
      <c r="J187" s="8" t="s">
        <v>404</v>
      </c>
      <c r="K187" s="18" t="s">
        <v>497</v>
      </c>
      <c r="L187" s="8" t="s">
        <v>535</v>
      </c>
      <c r="M187" s="29" cm="1">
        <f t="array" ref="M187">-SUMPRODUCT((B$2:B$224=B187)*((C$2:C$224&lt;C187)+(C$2:C$224=C187)*(ROW(G$2:G$224)&lt;=ROW(G187)))*G$2:G$224)</f>
        <v>2377.9625080062569</v>
      </c>
      <c r="N187" s="16" cm="1">
        <f t="array" ref="N187">-SUMPRODUCT((B$2:B$224=B187)*((C$2:C$224&lt;C187)+(C$2:C$224=C187)*(ROW(I$2:I$224)&lt;=ROW(I187)))*I$2:I$224)</f>
        <v>56721</v>
      </c>
      <c r="O187" s="16">
        <f>ROUND(テーブル10[[#This Row],[為替レート]]*テーブル10[[#This Row],[元残高]],0)</f>
        <v>51221</v>
      </c>
      <c r="P187" s="27">
        <f>テーブル10[[#This Row],[円残高]]-テーブル10[[#This Row],[円残高_時価]]</f>
        <v>5500</v>
      </c>
    </row>
    <row r="188" spans="1:16" ht="18" customHeight="1" x14ac:dyDescent="0.25">
      <c r="A188" s="8" t="s">
        <v>49</v>
      </c>
      <c r="B188" s="8" t="s">
        <v>70</v>
      </c>
      <c r="C188" s="9">
        <v>45919</v>
      </c>
      <c r="D188" s="22" t="s">
        <v>4</v>
      </c>
      <c r="E188" s="8" t="s">
        <v>10</v>
      </c>
      <c r="F188" s="8" t="s">
        <v>1</v>
      </c>
      <c r="G188" s="13">
        <v>421</v>
      </c>
      <c r="H188" s="3">
        <v>21.54</v>
      </c>
      <c r="I188" s="12">
        <f>ROUND(テーブル10[[#This Row],[元金額]]*テーブル10[[#This Row],[為替レート]],0)</f>
        <v>9068</v>
      </c>
      <c r="J188" s="8" t="s">
        <v>403</v>
      </c>
      <c r="K188" s="18" t="s">
        <v>43</v>
      </c>
      <c r="L188" s="8" t="s">
        <v>536</v>
      </c>
      <c r="M188" s="29" cm="1">
        <f t="array" ref="M188">-SUMPRODUCT((B$2:B$224=B188)*((C$2:C$224&lt;C188)+(C$2:C$224=C188)*(ROW(G$2:G$224)&lt;=ROW(G188)))*G$2:G$224)</f>
        <v>1956.9625080062569</v>
      </c>
      <c r="N188" s="16" cm="1">
        <f t="array" ref="N188">-SUMPRODUCT((B$2:B$224=B188)*((C$2:C$224&lt;C188)+(C$2:C$224=C188)*(ROW(I$2:I$224)&lt;=ROW(I188)))*I$2:I$224)</f>
        <v>47653</v>
      </c>
      <c r="O188" s="16">
        <f>ROUND(テーブル10[[#This Row],[為替レート]]*テーブル10[[#This Row],[元残高]],0)</f>
        <v>42153</v>
      </c>
      <c r="P188" s="27">
        <f>テーブル10[[#This Row],[円残高]]-テーブル10[[#This Row],[円残高_時価]]</f>
        <v>5500</v>
      </c>
    </row>
    <row r="189" spans="1:16" ht="18" customHeight="1" x14ac:dyDescent="0.25">
      <c r="A189" s="8" t="s">
        <v>49</v>
      </c>
      <c r="B189" s="8" t="s">
        <v>70</v>
      </c>
      <c r="C189" s="9">
        <v>45926</v>
      </c>
      <c r="D189" s="22" t="s">
        <v>24</v>
      </c>
      <c r="E189" s="8"/>
      <c r="F189" s="8" t="s">
        <v>1</v>
      </c>
      <c r="G189" s="13">
        <v>360</v>
      </c>
      <c r="H189" s="3">
        <v>21.54</v>
      </c>
      <c r="I189" s="12">
        <f>ROUND(テーブル10[[#This Row],[元金額]]*テーブル10[[#This Row],[為替レート]],0)</f>
        <v>7754</v>
      </c>
      <c r="J189" s="8" t="s">
        <v>404</v>
      </c>
      <c r="K189" s="18" t="s">
        <v>577</v>
      </c>
      <c r="L189" s="8" t="s">
        <v>537</v>
      </c>
      <c r="M189" s="29" cm="1">
        <f t="array" ref="M189">-SUMPRODUCT((B$2:B$224=B189)*((C$2:C$224&lt;C189)+(C$2:C$224=C189)*(ROW(G$2:G$224)&lt;=ROW(G189)))*G$2:G$224)</f>
        <v>1596.9625080062569</v>
      </c>
      <c r="N189" s="16" cm="1">
        <f t="array" ref="N189">-SUMPRODUCT((B$2:B$224=B189)*((C$2:C$224&lt;C189)+(C$2:C$224=C189)*(ROW(I$2:I$224)&lt;=ROW(I189)))*I$2:I$224)</f>
        <v>39899</v>
      </c>
      <c r="O189" s="16">
        <f>ROUND(テーブル10[[#This Row],[為替レート]]*テーブル10[[#This Row],[元残高]],0)</f>
        <v>34399</v>
      </c>
      <c r="P189" s="27">
        <f>テーブル10[[#This Row],[円残高]]-テーブル10[[#This Row],[円残高_時価]]</f>
        <v>5500</v>
      </c>
    </row>
    <row r="190" spans="1:16" ht="18" customHeight="1" x14ac:dyDescent="0.25">
      <c r="A190" s="8" t="s">
        <v>49</v>
      </c>
      <c r="B190" s="8" t="s">
        <v>70</v>
      </c>
      <c r="C190" s="9">
        <v>45926</v>
      </c>
      <c r="D190" s="22" t="s">
        <v>4</v>
      </c>
      <c r="E190" s="8" t="s">
        <v>29</v>
      </c>
      <c r="F190" s="8" t="s">
        <v>1</v>
      </c>
      <c r="G190" s="13">
        <v>280</v>
      </c>
      <c r="H190" s="3">
        <v>21.54</v>
      </c>
      <c r="I190" s="12">
        <f>ROUND(テーブル10[[#This Row],[元金額]]*テーブル10[[#This Row],[為替レート]],0)</f>
        <v>6031</v>
      </c>
      <c r="J190" s="8" t="s">
        <v>404</v>
      </c>
      <c r="K190" s="18" t="s">
        <v>44</v>
      </c>
      <c r="L190" s="8" t="s">
        <v>538</v>
      </c>
      <c r="M190" s="29" cm="1">
        <f t="array" ref="M190">-SUMPRODUCT((B$2:B$224=B190)*((C$2:C$224&lt;C190)+(C$2:C$224=C190)*(ROW(G$2:G$224)&lt;=ROW(G190)))*G$2:G$224)</f>
        <v>1316.9625080062569</v>
      </c>
      <c r="N190" s="16" cm="1">
        <f t="array" ref="N190">-SUMPRODUCT((B$2:B$224=B190)*((C$2:C$224&lt;C190)+(C$2:C$224=C190)*(ROW(I$2:I$224)&lt;=ROW(I190)))*I$2:I$224)</f>
        <v>33868</v>
      </c>
      <c r="O190" s="16">
        <f>ROUND(テーブル10[[#This Row],[為替レート]]*テーブル10[[#This Row],[元残高]],0)</f>
        <v>28367</v>
      </c>
      <c r="P190" s="27">
        <f>テーブル10[[#This Row],[円残高]]-テーブル10[[#This Row],[円残高_時価]]</f>
        <v>5501</v>
      </c>
    </row>
    <row r="191" spans="1:16" ht="18" customHeight="1" x14ac:dyDescent="0.25">
      <c r="A191" s="8" t="s">
        <v>49</v>
      </c>
      <c r="B191" s="8" t="s">
        <v>70</v>
      </c>
      <c r="C191" s="9">
        <v>45926</v>
      </c>
      <c r="D191" s="22" t="s">
        <v>4</v>
      </c>
      <c r="E191" s="8" t="s">
        <v>29</v>
      </c>
      <c r="F191" s="8" t="s">
        <v>1</v>
      </c>
      <c r="G191" s="13">
        <v>12430</v>
      </c>
      <c r="H191" s="3">
        <v>21.54</v>
      </c>
      <c r="I191" s="12">
        <f>ROUND(テーブル10[[#This Row],[元金額]]*テーブル10[[#This Row],[為替レート]],0)</f>
        <v>267742</v>
      </c>
      <c r="J191" s="8" t="s">
        <v>404</v>
      </c>
      <c r="K191" s="18" t="s">
        <v>45</v>
      </c>
      <c r="L191" s="8" t="s">
        <v>539</v>
      </c>
      <c r="M191" s="29" cm="1">
        <f t="array" ref="M191">-SUMPRODUCT((B$2:B$224=B191)*((C$2:C$224&lt;C191)+(C$2:C$224=C191)*(ROW(G$2:G$224)&lt;=ROW(G191)))*G$2:G$224)</f>
        <v>-11113.037491993742</v>
      </c>
      <c r="N191" s="16" cm="1">
        <f t="array" ref="N191">-SUMPRODUCT((B$2:B$224=B191)*((C$2:C$224&lt;C191)+(C$2:C$224=C191)*(ROW(I$2:I$224)&lt;=ROW(I191)))*I$2:I$224)</f>
        <v>-233874</v>
      </c>
      <c r="O191" s="16">
        <f>ROUND(テーブル10[[#This Row],[為替レート]]*テーブル10[[#This Row],[元残高]],0)</f>
        <v>-239375</v>
      </c>
      <c r="P191" s="27">
        <f>テーブル10[[#This Row],[円残高]]-テーブル10[[#This Row],[円残高_時価]]</f>
        <v>5501</v>
      </c>
    </row>
    <row r="192" spans="1:16" ht="18" customHeight="1" x14ac:dyDescent="0.25">
      <c r="A192" s="8" t="s">
        <v>49</v>
      </c>
      <c r="B192" s="8" t="s">
        <v>70</v>
      </c>
      <c r="C192" s="9">
        <v>45939</v>
      </c>
      <c r="D192" s="22" t="s">
        <v>90</v>
      </c>
      <c r="E192" s="8"/>
      <c r="F192" s="8" t="s">
        <v>1</v>
      </c>
      <c r="G192" s="13">
        <f>-300000/22.67</f>
        <v>-13233.348037053374</v>
      </c>
      <c r="H192" s="3">
        <v>22.67</v>
      </c>
      <c r="I192" s="12">
        <f>ROUND(テーブル10[[#This Row],[元金額]]*テーブル10[[#This Row],[為替レート]],0)</f>
        <v>-300000</v>
      </c>
      <c r="J192" s="8"/>
      <c r="K192" s="18"/>
      <c r="L192" s="8" t="s">
        <v>540</v>
      </c>
      <c r="M192" s="29" cm="1">
        <f t="array" ref="M192">-SUMPRODUCT((B$2:B$224=B192)*((C$2:C$224&lt;C192)+(C$2:C$224=C192)*(ROW(G$2:G$224)&lt;=ROW(G192)))*G$2:G$224)</f>
        <v>2120.3105450596322</v>
      </c>
      <c r="N192" s="16" cm="1">
        <f t="array" ref="N192">-SUMPRODUCT((B$2:B$224=B192)*((C$2:C$224&lt;C192)+(C$2:C$224=C192)*(ROW(I$2:I$224)&lt;=ROW(I192)))*I$2:I$224)</f>
        <v>66126</v>
      </c>
      <c r="O192" s="16">
        <f>ROUND(テーブル10[[#This Row],[為替レート]]*テーブル10[[#This Row],[元残高]],0)</f>
        <v>48067</v>
      </c>
      <c r="P192" s="27">
        <f>テーブル10[[#This Row],[円残高]]-テーブル10[[#This Row],[円残高_時価]]</f>
        <v>18059</v>
      </c>
    </row>
    <row r="193" spans="1:16" ht="18" customHeight="1" x14ac:dyDescent="0.25">
      <c r="A193" s="8" t="s">
        <v>49</v>
      </c>
      <c r="B193" s="8" t="s">
        <v>70</v>
      </c>
      <c r="C193" s="9">
        <v>45939</v>
      </c>
      <c r="D193" s="24" t="s">
        <v>63</v>
      </c>
      <c r="E193" s="8"/>
      <c r="F193" s="8" t="s">
        <v>1</v>
      </c>
      <c r="G193" s="13">
        <f>-G192*0.02</f>
        <v>264.6669607410675</v>
      </c>
      <c r="H193" s="3">
        <v>22.67</v>
      </c>
      <c r="I193" s="12">
        <f>ROUND(テーブル10[[#This Row],[元金額]]*テーブル10[[#This Row],[為替レート]],0)</f>
        <v>6000</v>
      </c>
      <c r="J193" s="8"/>
      <c r="K193" s="18"/>
      <c r="L193" s="8" t="s">
        <v>541</v>
      </c>
      <c r="M193" s="29" cm="1">
        <f t="array" ref="M193">-SUMPRODUCT((B$2:B$224=B193)*((C$2:C$224&lt;C193)+(C$2:C$224=C193)*(ROW(G$2:G$224)&lt;=ROW(G193)))*G$2:G$224)</f>
        <v>1855.6435843185648</v>
      </c>
      <c r="N193" s="16" cm="1">
        <f t="array" ref="N193">-SUMPRODUCT((B$2:B$224=B193)*((C$2:C$224&lt;C193)+(C$2:C$224=C193)*(ROW(I$2:I$224)&lt;=ROW(I193)))*I$2:I$224)</f>
        <v>60126</v>
      </c>
      <c r="O193" s="16">
        <f>ROUND(テーブル10[[#This Row],[為替レート]]*テーブル10[[#This Row],[元残高]],0)</f>
        <v>42067</v>
      </c>
      <c r="P193" s="27">
        <f>テーブル10[[#This Row],[円残高]]-テーブル10[[#This Row],[円残高_時価]]</f>
        <v>18059</v>
      </c>
    </row>
    <row r="194" spans="1:16" ht="18" customHeight="1" x14ac:dyDescent="0.25">
      <c r="A194" s="8" t="s">
        <v>49</v>
      </c>
      <c r="B194" s="8" t="s">
        <v>70</v>
      </c>
      <c r="C194" s="9">
        <v>45952</v>
      </c>
      <c r="D194" s="22" t="s">
        <v>4</v>
      </c>
      <c r="E194" s="8" t="s">
        <v>69</v>
      </c>
      <c r="F194" s="8" t="s">
        <v>1</v>
      </c>
      <c r="G194" s="13">
        <v>15</v>
      </c>
      <c r="H194" s="3">
        <v>22.67</v>
      </c>
      <c r="I194" s="12">
        <f>ROUND(テーブル10[[#This Row],[元金額]]*テーブル10[[#This Row],[為替レート]],0)</f>
        <v>340</v>
      </c>
      <c r="J194" s="8" t="s">
        <v>404</v>
      </c>
      <c r="K194" s="18" t="s">
        <v>45</v>
      </c>
      <c r="L194" s="8" t="s">
        <v>542</v>
      </c>
      <c r="M194" s="29" cm="1">
        <f t="array" ref="M194">-SUMPRODUCT((B$2:B$224=B194)*((C$2:C$224&lt;C194)+(C$2:C$224=C194)*(ROW(G$2:G$224)&lt;=ROW(G194)))*G$2:G$224)</f>
        <v>1840.6435843185648</v>
      </c>
      <c r="N194" s="16" cm="1">
        <f t="array" ref="N194">-SUMPRODUCT((B$2:B$224=B194)*((C$2:C$224&lt;C194)+(C$2:C$224=C194)*(ROW(I$2:I$224)&lt;=ROW(I194)))*I$2:I$224)</f>
        <v>59786</v>
      </c>
      <c r="O194" s="16">
        <f>ROUND(テーブル10[[#This Row],[為替レート]]*テーブル10[[#This Row],[元残高]],0)</f>
        <v>41727</v>
      </c>
      <c r="P194" s="27">
        <f>テーブル10[[#This Row],[円残高]]-テーブル10[[#This Row],[円残高_時価]]</f>
        <v>18059</v>
      </c>
    </row>
    <row r="195" spans="1:16" ht="18" customHeight="1" x14ac:dyDescent="0.25">
      <c r="A195" s="8" t="s">
        <v>49</v>
      </c>
      <c r="B195" s="8" t="s">
        <v>70</v>
      </c>
      <c r="C195" s="9">
        <v>45954</v>
      </c>
      <c r="D195" s="22" t="s">
        <v>24</v>
      </c>
      <c r="E195" s="8"/>
      <c r="F195" s="8" t="s">
        <v>1</v>
      </c>
      <c r="G195" s="13">
        <v>269</v>
      </c>
      <c r="H195" s="3">
        <v>22.67</v>
      </c>
      <c r="I195" s="12">
        <f>ROUND(テーブル10[[#This Row],[元金額]]*テーブル10[[#This Row],[為替レート]],0)</f>
        <v>6098</v>
      </c>
      <c r="J195" s="8" t="s">
        <v>403</v>
      </c>
      <c r="K195" s="18" t="s">
        <v>494</v>
      </c>
      <c r="L195" s="8" t="s">
        <v>543</v>
      </c>
      <c r="M195" s="29" cm="1">
        <f t="array" ref="M195">-SUMPRODUCT((B$2:B$224=B195)*((C$2:C$224&lt;C195)+(C$2:C$224=C195)*(ROW(G$2:G$224)&lt;=ROW(G195)))*G$2:G$224)</f>
        <v>1571.6435843185648</v>
      </c>
      <c r="N195" s="16" cm="1">
        <f t="array" ref="N195">-SUMPRODUCT((B$2:B$224=B195)*((C$2:C$224&lt;C195)+(C$2:C$224=C195)*(ROW(I$2:I$224)&lt;=ROW(I195)))*I$2:I$224)</f>
        <v>53688</v>
      </c>
      <c r="O195" s="16">
        <f>ROUND(テーブル10[[#This Row],[為替レート]]*テーブル10[[#This Row],[元残高]],0)</f>
        <v>35629</v>
      </c>
      <c r="P195" s="27">
        <f>テーブル10[[#This Row],[円残高]]-テーブル10[[#This Row],[円残高_時価]]</f>
        <v>18059</v>
      </c>
    </row>
    <row r="196" spans="1:16" ht="18" customHeight="1" x14ac:dyDescent="0.25">
      <c r="A196" s="8" t="s">
        <v>49</v>
      </c>
      <c r="B196" s="8" t="s">
        <v>70</v>
      </c>
      <c r="C196" s="9">
        <v>45961</v>
      </c>
      <c r="D196" s="22" t="s">
        <v>24</v>
      </c>
      <c r="E196" s="8"/>
      <c r="F196" s="8" t="s">
        <v>1</v>
      </c>
      <c r="G196" s="13">
        <v>7.6</v>
      </c>
      <c r="H196" s="3">
        <v>22.67</v>
      </c>
      <c r="I196" s="12">
        <f>ROUND(テーブル10[[#This Row],[元金額]]*テーブル10[[#This Row],[為替レート]],0)</f>
        <v>172</v>
      </c>
      <c r="J196" s="8" t="s">
        <v>404</v>
      </c>
      <c r="K196" s="18" t="s">
        <v>492</v>
      </c>
      <c r="L196" s="8" t="s">
        <v>544</v>
      </c>
      <c r="M196" s="29" cm="1">
        <f t="array" ref="M196">-SUMPRODUCT((B$2:B$224=B196)*((C$2:C$224&lt;C196)+(C$2:C$224=C196)*(ROW(G$2:G$224)&lt;=ROW(G196)))*G$2:G$224)</f>
        <v>1564.0435843185649</v>
      </c>
      <c r="N196" s="16" cm="1">
        <f t="array" ref="N196">-SUMPRODUCT((B$2:B$224=B196)*((C$2:C$224&lt;C196)+(C$2:C$224=C196)*(ROW(I$2:I$224)&lt;=ROW(I196)))*I$2:I$224)</f>
        <v>53516</v>
      </c>
      <c r="O196" s="16">
        <f>ROUND(テーブル10[[#This Row],[為替レート]]*テーブル10[[#This Row],[元残高]],0)</f>
        <v>35457</v>
      </c>
      <c r="P196" s="27">
        <f>テーブル10[[#This Row],[円残高]]-テーブル10[[#This Row],[円残高_時価]]</f>
        <v>18059</v>
      </c>
    </row>
    <row r="197" spans="1:16" ht="18" customHeight="1" x14ac:dyDescent="0.25">
      <c r="A197" s="8" t="s">
        <v>49</v>
      </c>
      <c r="B197" s="8" t="s">
        <v>70</v>
      </c>
      <c r="C197" s="9">
        <v>45961</v>
      </c>
      <c r="D197" s="22" t="s">
        <v>24</v>
      </c>
      <c r="E197" s="8"/>
      <c r="F197" s="8" t="s">
        <v>1</v>
      </c>
      <c r="G197" s="13">
        <v>8</v>
      </c>
      <c r="H197" s="3">
        <v>22.67</v>
      </c>
      <c r="I197" s="12">
        <f>ROUND(テーブル10[[#This Row],[元金額]]*テーブル10[[#This Row],[為替レート]],0)</f>
        <v>181</v>
      </c>
      <c r="J197" s="8" t="s">
        <v>404</v>
      </c>
      <c r="K197" s="18" t="s">
        <v>492</v>
      </c>
      <c r="L197" s="8" t="s">
        <v>545</v>
      </c>
      <c r="M197" s="29" cm="1">
        <f t="array" ref="M197">-SUMPRODUCT((B$2:B$224=B197)*((C$2:C$224&lt;C197)+(C$2:C$224=C197)*(ROW(G$2:G$224)&lt;=ROW(G197)))*G$2:G$224)</f>
        <v>1556.0435843185649</v>
      </c>
      <c r="N197" s="16" cm="1">
        <f t="array" ref="N197">-SUMPRODUCT((B$2:B$224=B197)*((C$2:C$224&lt;C197)+(C$2:C$224=C197)*(ROW(I$2:I$224)&lt;=ROW(I197)))*I$2:I$224)</f>
        <v>53335</v>
      </c>
      <c r="O197" s="16">
        <f>ROUND(テーブル10[[#This Row],[為替レート]]*テーブル10[[#This Row],[元残高]],0)</f>
        <v>35276</v>
      </c>
      <c r="P197" s="27">
        <f>テーブル10[[#This Row],[円残高]]-テーブル10[[#This Row],[円残高_時価]]</f>
        <v>18059</v>
      </c>
    </row>
    <row r="198" spans="1:16" ht="18" customHeight="1" x14ac:dyDescent="0.25">
      <c r="A198" s="8" t="s">
        <v>49</v>
      </c>
      <c r="B198" s="8" t="s">
        <v>70</v>
      </c>
      <c r="C198" s="9">
        <v>45961</v>
      </c>
      <c r="D198" s="22" t="s">
        <v>24</v>
      </c>
      <c r="E198" s="8"/>
      <c r="F198" s="8" t="s">
        <v>1</v>
      </c>
      <c r="G198" s="13">
        <v>2220</v>
      </c>
      <c r="H198" s="3">
        <v>22.67</v>
      </c>
      <c r="I198" s="12">
        <f>ROUND(テーブル10[[#This Row],[元金額]]*テーブル10[[#This Row],[為替レート]],0)</f>
        <v>50327</v>
      </c>
      <c r="J198" s="8" t="s">
        <v>404</v>
      </c>
      <c r="K198" s="18" t="s">
        <v>493</v>
      </c>
      <c r="L198" s="8" t="s">
        <v>546</v>
      </c>
      <c r="M198" s="29" cm="1">
        <f t="array" ref="M198">-SUMPRODUCT((B$2:B$224=B198)*((C$2:C$224&lt;C198)+(C$2:C$224=C198)*(ROW(G$2:G$224)&lt;=ROW(G198)))*G$2:G$224)</f>
        <v>-663.95641568143515</v>
      </c>
      <c r="N198" s="16" cm="1">
        <f t="array" ref="N198">-SUMPRODUCT((B$2:B$224=B198)*((C$2:C$224&lt;C198)+(C$2:C$224=C198)*(ROW(I$2:I$224)&lt;=ROW(I198)))*I$2:I$224)</f>
        <v>3008</v>
      </c>
      <c r="O198" s="16">
        <f>ROUND(テーブル10[[#This Row],[為替レート]]*テーブル10[[#This Row],[元残高]],0)</f>
        <v>-15052</v>
      </c>
      <c r="P198" s="27">
        <f>テーブル10[[#This Row],[円残高]]-テーブル10[[#This Row],[円残高_時価]]</f>
        <v>18060</v>
      </c>
    </row>
    <row r="199" spans="1:16" ht="18" customHeight="1" x14ac:dyDescent="0.25">
      <c r="A199" s="8" t="s">
        <v>49</v>
      </c>
      <c r="B199" s="8" t="s">
        <v>70</v>
      </c>
      <c r="C199" s="9">
        <v>45965</v>
      </c>
      <c r="D199" s="22" t="s">
        <v>90</v>
      </c>
      <c r="E199" s="8"/>
      <c r="F199" s="8" t="s">
        <v>1</v>
      </c>
      <c r="G199" s="13">
        <f>-100000/22.96</f>
        <v>-4355.4006968641115</v>
      </c>
      <c r="H199" s="3">
        <v>22.96</v>
      </c>
      <c r="I199" s="12">
        <f>ROUND(テーブル10[[#This Row],[元金額]]*テーブル10[[#This Row],[為替レート]],0)</f>
        <v>-100000</v>
      </c>
      <c r="J199" s="8" t="s">
        <v>404</v>
      </c>
      <c r="K199" s="18"/>
      <c r="L199" s="8" t="s">
        <v>547</v>
      </c>
      <c r="M199" s="29" cm="1">
        <f t="array" ref="M199">-SUMPRODUCT((B$2:B$224=B199)*((C$2:C$224&lt;C199)+(C$2:C$224=C199)*(ROW(G$2:G$224)&lt;=ROW(G199)))*G$2:G$224)</f>
        <v>3691.4442811826766</v>
      </c>
      <c r="N199" s="16" cm="1">
        <f t="array" ref="N199">-SUMPRODUCT((B$2:B$224=B199)*((C$2:C$224&lt;C199)+(C$2:C$224=C199)*(ROW(I$2:I$224)&lt;=ROW(I199)))*I$2:I$224)</f>
        <v>103008</v>
      </c>
      <c r="O199" s="16">
        <f>ROUND(テーブル10[[#This Row],[為替レート]]*テーブル10[[#This Row],[元残高]],0)</f>
        <v>84756</v>
      </c>
      <c r="P199" s="27">
        <f>テーブル10[[#This Row],[円残高]]-テーブル10[[#This Row],[円残高_時価]]</f>
        <v>18252</v>
      </c>
    </row>
    <row r="200" spans="1:16" ht="18" customHeight="1" x14ac:dyDescent="0.25">
      <c r="A200" s="8" t="s">
        <v>49</v>
      </c>
      <c r="B200" s="8" t="s">
        <v>70</v>
      </c>
      <c r="C200" s="9">
        <v>45965</v>
      </c>
      <c r="D200" s="24" t="s">
        <v>63</v>
      </c>
      <c r="E200" s="8"/>
      <c r="F200" s="8" t="s">
        <v>1</v>
      </c>
      <c r="G200" s="13">
        <f>-G199*0.02</f>
        <v>87.108013937282237</v>
      </c>
      <c r="H200" s="3">
        <v>22.96</v>
      </c>
      <c r="I200" s="12">
        <f>ROUND(テーブル10[[#This Row],[元金額]]*テーブル10[[#This Row],[為替レート]],0)</f>
        <v>2000</v>
      </c>
      <c r="J200" s="8" t="s">
        <v>404</v>
      </c>
      <c r="K200" s="18"/>
      <c r="L200" s="8" t="s">
        <v>548</v>
      </c>
      <c r="M200" s="29" cm="1">
        <f t="array" ref="M200">-SUMPRODUCT((B$2:B$224=B200)*((C$2:C$224&lt;C200)+(C$2:C$224=C200)*(ROW(G$2:G$224)&lt;=ROW(G200)))*G$2:G$224)</f>
        <v>3604.3362672453945</v>
      </c>
      <c r="N200" s="16" cm="1">
        <f t="array" ref="N200">-SUMPRODUCT((B$2:B$224=B200)*((C$2:C$224&lt;C200)+(C$2:C$224=C200)*(ROW(I$2:I$224)&lt;=ROW(I200)))*I$2:I$224)</f>
        <v>101008</v>
      </c>
      <c r="O200" s="16">
        <f>ROUND(テーブル10[[#This Row],[為替レート]]*テーブル10[[#This Row],[元残高]],0)</f>
        <v>82756</v>
      </c>
      <c r="P200" s="27">
        <f>テーブル10[[#This Row],[円残高]]-テーブル10[[#This Row],[円残高_時価]]</f>
        <v>18252</v>
      </c>
    </row>
    <row r="201" spans="1:16" ht="18" customHeight="1" x14ac:dyDescent="0.25">
      <c r="A201" s="8" t="s">
        <v>49</v>
      </c>
      <c r="B201" s="8" t="s">
        <v>70</v>
      </c>
      <c r="C201" s="9">
        <v>45966</v>
      </c>
      <c r="D201" s="22" t="s">
        <v>4</v>
      </c>
      <c r="E201" s="8" t="s">
        <v>430</v>
      </c>
      <c r="F201" s="8" t="s">
        <v>1</v>
      </c>
      <c r="G201" s="13">
        <v>650</v>
      </c>
      <c r="H201" s="3">
        <v>22.96</v>
      </c>
      <c r="I201" s="12">
        <f>ROUND(テーブル10[[#This Row],[元金額]]*テーブル10[[#This Row],[為替レート]],0)</f>
        <v>14924</v>
      </c>
      <c r="J201" s="8" t="s">
        <v>404</v>
      </c>
      <c r="K201" s="18" t="s">
        <v>45</v>
      </c>
      <c r="L201" s="8" t="s">
        <v>549</v>
      </c>
      <c r="M201" s="29" cm="1">
        <f t="array" ref="M201">-SUMPRODUCT((B$2:B$224=B201)*((C$2:C$224&lt;C201)+(C$2:C$224=C201)*(ROW(G$2:G$224)&lt;=ROW(G201)))*G$2:G$224)</f>
        <v>2954.3362672453945</v>
      </c>
      <c r="N201" s="16" cm="1">
        <f t="array" ref="N201">-SUMPRODUCT((B$2:B$224=B201)*((C$2:C$224&lt;C201)+(C$2:C$224=C201)*(ROW(I$2:I$224)&lt;=ROW(I201)))*I$2:I$224)</f>
        <v>86084</v>
      </c>
      <c r="O201" s="16">
        <f>ROUND(テーブル10[[#This Row],[為替レート]]*テーブル10[[#This Row],[元残高]],0)</f>
        <v>67832</v>
      </c>
      <c r="P201" s="27">
        <f>テーブル10[[#This Row],[円残高]]-テーブル10[[#This Row],[円残高_時価]]</f>
        <v>18252</v>
      </c>
    </row>
    <row r="202" spans="1:16" ht="18" customHeight="1" x14ac:dyDescent="0.25">
      <c r="A202" s="8" t="s">
        <v>49</v>
      </c>
      <c r="B202" s="8" t="s">
        <v>70</v>
      </c>
      <c r="C202" s="9">
        <v>45967</v>
      </c>
      <c r="D202" s="22" t="s">
        <v>4</v>
      </c>
      <c r="E202" s="8" t="s">
        <v>430</v>
      </c>
      <c r="F202" s="8" t="s">
        <v>1</v>
      </c>
      <c r="G202" s="13">
        <v>575</v>
      </c>
      <c r="H202" s="3">
        <v>22.96</v>
      </c>
      <c r="I202" s="12">
        <f>ROUND(テーブル10[[#This Row],[元金額]]*テーブル10[[#This Row],[為替レート]],0)</f>
        <v>13202</v>
      </c>
      <c r="J202" s="8" t="s">
        <v>404</v>
      </c>
      <c r="K202" s="18" t="s">
        <v>45</v>
      </c>
      <c r="L202" s="8" t="s">
        <v>550</v>
      </c>
      <c r="M202" s="29" cm="1">
        <f t="array" ref="M202">-SUMPRODUCT((B$2:B$224=B202)*((C$2:C$224&lt;C202)+(C$2:C$224=C202)*(ROW(G$2:G$224)&lt;=ROW(G202)))*G$2:G$224)</f>
        <v>2379.3362672453945</v>
      </c>
      <c r="N202" s="16" cm="1">
        <f t="array" ref="N202">-SUMPRODUCT((B$2:B$224=B202)*((C$2:C$224&lt;C202)+(C$2:C$224=C202)*(ROW(I$2:I$224)&lt;=ROW(I202)))*I$2:I$224)</f>
        <v>72882</v>
      </c>
      <c r="O202" s="16">
        <f>ROUND(テーブル10[[#This Row],[為替レート]]*テーブル10[[#This Row],[元残高]],0)</f>
        <v>54630</v>
      </c>
      <c r="P202" s="27">
        <f>テーブル10[[#This Row],[円残高]]-テーブル10[[#This Row],[円残高_時価]]</f>
        <v>18252</v>
      </c>
    </row>
    <row r="203" spans="1:16" ht="18" customHeight="1" x14ac:dyDescent="0.25">
      <c r="A203" s="8" t="s">
        <v>49</v>
      </c>
      <c r="B203" s="8" t="s">
        <v>70</v>
      </c>
      <c r="C203" s="9">
        <v>45968</v>
      </c>
      <c r="D203" s="22" t="s">
        <v>4</v>
      </c>
      <c r="E203" s="8" t="s">
        <v>430</v>
      </c>
      <c r="F203" s="8" t="s">
        <v>1</v>
      </c>
      <c r="G203" s="13">
        <v>550</v>
      </c>
      <c r="H203" s="3">
        <v>22.96</v>
      </c>
      <c r="I203" s="12">
        <f>ROUND(テーブル10[[#This Row],[元金額]]*テーブル10[[#This Row],[為替レート]],0)</f>
        <v>12628</v>
      </c>
      <c r="J203" s="8" t="s">
        <v>404</v>
      </c>
      <c r="K203" s="18" t="s">
        <v>45</v>
      </c>
      <c r="L203" s="8" t="s">
        <v>551</v>
      </c>
      <c r="M203" s="29" cm="1">
        <f t="array" ref="M203">-SUMPRODUCT((B$2:B$224=B203)*((C$2:C$224&lt;C203)+(C$2:C$224=C203)*(ROW(G$2:G$224)&lt;=ROW(G203)))*G$2:G$224)</f>
        <v>1829.3362672453945</v>
      </c>
      <c r="N203" s="16" cm="1">
        <f t="array" ref="N203">-SUMPRODUCT((B$2:B$224=B203)*((C$2:C$224&lt;C203)+(C$2:C$224=C203)*(ROW(I$2:I$224)&lt;=ROW(I203)))*I$2:I$224)</f>
        <v>60254</v>
      </c>
      <c r="O203" s="16">
        <f>ROUND(テーブル10[[#This Row],[為替レート]]*テーブル10[[#This Row],[元残高]],0)</f>
        <v>42002</v>
      </c>
      <c r="P203" s="27">
        <f>テーブル10[[#This Row],[円残高]]-テーブル10[[#This Row],[円残高_時価]]</f>
        <v>18252</v>
      </c>
    </row>
    <row r="204" spans="1:16" ht="18" customHeight="1" x14ac:dyDescent="0.25">
      <c r="A204" s="8" t="s">
        <v>49</v>
      </c>
      <c r="B204" s="8" t="s">
        <v>70</v>
      </c>
      <c r="C204" s="9">
        <v>45975</v>
      </c>
      <c r="D204" s="22" t="s">
        <v>4</v>
      </c>
      <c r="E204" s="8" t="s">
        <v>69</v>
      </c>
      <c r="F204" s="8" t="s">
        <v>1</v>
      </c>
      <c r="G204" s="13">
        <v>18</v>
      </c>
      <c r="H204" s="3">
        <v>22.96</v>
      </c>
      <c r="I204" s="12">
        <f>ROUND(テーブル10[[#This Row],[元金額]]*テーブル10[[#This Row],[為替レート]],0)</f>
        <v>413</v>
      </c>
      <c r="J204" s="8" t="s">
        <v>404</v>
      </c>
      <c r="K204" s="18" t="s">
        <v>44</v>
      </c>
      <c r="L204" s="8" t="s">
        <v>552</v>
      </c>
      <c r="M204" s="29" cm="1">
        <f t="array" ref="M204">-SUMPRODUCT((B$2:B$224=B204)*((C$2:C$224&lt;C204)+(C$2:C$224=C204)*(ROW(G$2:G$224)&lt;=ROW(G204)))*G$2:G$224)</f>
        <v>1811.3362672453945</v>
      </c>
      <c r="N204" s="16" cm="1">
        <f t="array" ref="N204">-SUMPRODUCT((B$2:B$224=B204)*((C$2:C$224&lt;C204)+(C$2:C$224=C204)*(ROW(I$2:I$224)&lt;=ROW(I204)))*I$2:I$224)</f>
        <v>59841</v>
      </c>
      <c r="O204" s="16">
        <f>ROUND(テーブル10[[#This Row],[為替レート]]*テーブル10[[#This Row],[元残高]],0)</f>
        <v>41588</v>
      </c>
      <c r="P204" s="27">
        <f>テーブル10[[#This Row],[円残高]]-テーブル10[[#This Row],[円残高_時価]]</f>
        <v>18253</v>
      </c>
    </row>
    <row r="205" spans="1:16" ht="18" customHeight="1" x14ac:dyDescent="0.25">
      <c r="A205" s="8" t="s">
        <v>49</v>
      </c>
      <c r="B205" s="8" t="s">
        <v>70</v>
      </c>
      <c r="C205" s="9">
        <v>45982</v>
      </c>
      <c r="D205" s="22" t="s">
        <v>90</v>
      </c>
      <c r="E205" s="8"/>
      <c r="F205" s="8" t="s">
        <v>1</v>
      </c>
      <c r="G205" s="13">
        <f>-300000/23.42</f>
        <v>-12809.564474807856</v>
      </c>
      <c r="H205" s="3">
        <v>23.42</v>
      </c>
      <c r="I205" s="12">
        <f>ROUND(テーブル10[[#This Row],[元金額]]*テーブル10[[#This Row],[為替レート]],0)</f>
        <v>-300000</v>
      </c>
      <c r="J205" s="8" t="s">
        <v>404</v>
      </c>
      <c r="K205" s="18"/>
      <c r="L205" s="8" t="s">
        <v>553</v>
      </c>
      <c r="M205" s="29" cm="1">
        <f t="array" ref="M205">-SUMPRODUCT((B$2:B$224=B205)*((C$2:C$224&lt;C205)+(C$2:C$224=C205)*(ROW(G$2:G$224)&lt;=ROW(G205)))*G$2:G$224)</f>
        <v>14620.900742053251</v>
      </c>
      <c r="N205" s="16" cm="1">
        <f t="array" ref="N205">-SUMPRODUCT((B$2:B$224=B205)*((C$2:C$224&lt;C205)+(C$2:C$224=C205)*(ROW(I$2:I$224)&lt;=ROW(I205)))*I$2:I$224)</f>
        <v>359841</v>
      </c>
      <c r="O205" s="16">
        <f>ROUND(テーブル10[[#This Row],[為替レート]]*テーブル10[[#This Row],[元残高]],0)</f>
        <v>342421</v>
      </c>
      <c r="P205" s="27">
        <f>テーブル10[[#This Row],[円残高]]-テーブル10[[#This Row],[円残高_時価]]</f>
        <v>17420</v>
      </c>
    </row>
    <row r="206" spans="1:16" ht="18" customHeight="1" x14ac:dyDescent="0.25">
      <c r="A206" s="8" t="s">
        <v>49</v>
      </c>
      <c r="B206" s="8" t="s">
        <v>70</v>
      </c>
      <c r="C206" s="9">
        <v>45982</v>
      </c>
      <c r="D206" s="24" t="s">
        <v>63</v>
      </c>
      <c r="E206" s="8"/>
      <c r="F206" s="8" t="s">
        <v>1</v>
      </c>
      <c r="G206" s="13">
        <f>-G205*0.02</f>
        <v>256.19128949615714</v>
      </c>
      <c r="H206" s="3">
        <v>23.42</v>
      </c>
      <c r="I206" s="12">
        <f>ROUND(テーブル10[[#This Row],[元金額]]*テーブル10[[#This Row],[為替レート]],0)</f>
        <v>6000</v>
      </c>
      <c r="J206" s="8" t="s">
        <v>404</v>
      </c>
      <c r="K206" s="18"/>
      <c r="L206" s="8" t="s">
        <v>554</v>
      </c>
      <c r="M206" s="29" cm="1">
        <f t="array" ref="M206">-SUMPRODUCT((B$2:B$224=B206)*((C$2:C$224&lt;C206)+(C$2:C$224=C206)*(ROW(G$2:G$224)&lt;=ROW(G206)))*G$2:G$224)</f>
        <v>14364.709452557094</v>
      </c>
      <c r="N206" s="16" cm="1">
        <f t="array" ref="N206">-SUMPRODUCT((B$2:B$224=B206)*((C$2:C$224&lt;C206)+(C$2:C$224=C206)*(ROW(I$2:I$224)&lt;=ROW(I206)))*I$2:I$224)</f>
        <v>353841</v>
      </c>
      <c r="O206" s="16">
        <f>ROUND(テーブル10[[#This Row],[為替レート]]*テーブル10[[#This Row],[元残高]],0)</f>
        <v>336421</v>
      </c>
      <c r="P206" s="27">
        <f>テーブル10[[#This Row],[円残高]]-テーブル10[[#This Row],[円残高_時価]]</f>
        <v>17420</v>
      </c>
    </row>
    <row r="207" spans="1:16" ht="18" customHeight="1" x14ac:dyDescent="0.25">
      <c r="A207" s="8" t="s">
        <v>49</v>
      </c>
      <c r="B207" s="8" t="s">
        <v>70</v>
      </c>
      <c r="C207" s="9">
        <v>45982</v>
      </c>
      <c r="D207" s="22" t="s">
        <v>4</v>
      </c>
      <c r="E207" s="8" t="s">
        <v>29</v>
      </c>
      <c r="F207" s="8" t="s">
        <v>1</v>
      </c>
      <c r="G207" s="13">
        <v>161</v>
      </c>
      <c r="H207" s="3">
        <v>23.42</v>
      </c>
      <c r="I207" s="12">
        <f>ROUND(テーブル10[[#This Row],[元金額]]*テーブル10[[#This Row],[為替レート]],0)</f>
        <v>3771</v>
      </c>
      <c r="J207" s="8" t="s">
        <v>404</v>
      </c>
      <c r="K207" s="18" t="s">
        <v>46</v>
      </c>
      <c r="L207" s="8" t="s">
        <v>555</v>
      </c>
      <c r="M207" s="29" cm="1">
        <f t="array" ref="M207">-SUMPRODUCT((B$2:B$224=B207)*((C$2:C$224&lt;C207)+(C$2:C$224=C207)*(ROW(G$2:G$224)&lt;=ROW(G207)))*G$2:G$224)</f>
        <v>14203.709452557094</v>
      </c>
      <c r="N207" s="16" cm="1">
        <f t="array" ref="N207">-SUMPRODUCT((B$2:B$224=B207)*((C$2:C$224&lt;C207)+(C$2:C$224=C207)*(ROW(I$2:I$224)&lt;=ROW(I207)))*I$2:I$224)</f>
        <v>350070</v>
      </c>
      <c r="O207" s="16">
        <f>ROUND(テーブル10[[#This Row],[為替レート]]*テーブル10[[#This Row],[元残高]],0)</f>
        <v>332651</v>
      </c>
      <c r="P207" s="27">
        <f>テーブル10[[#This Row],[円残高]]-テーブル10[[#This Row],[円残高_時価]]</f>
        <v>17419</v>
      </c>
    </row>
    <row r="208" spans="1:16" ht="18" customHeight="1" x14ac:dyDescent="0.25">
      <c r="A208" s="8" t="s">
        <v>49</v>
      </c>
      <c r="B208" s="8" t="s">
        <v>70</v>
      </c>
      <c r="C208" s="9">
        <v>45987</v>
      </c>
      <c r="D208" s="22" t="s">
        <v>4</v>
      </c>
      <c r="E208" s="8" t="s">
        <v>29</v>
      </c>
      <c r="F208" s="8" t="s">
        <v>1</v>
      </c>
      <c r="G208" s="13">
        <v>12210</v>
      </c>
      <c r="H208" s="3">
        <v>23.42</v>
      </c>
      <c r="I208" s="12">
        <f>ROUND(テーブル10[[#This Row],[元金額]]*テーブル10[[#This Row],[為替レート]],0)</f>
        <v>285958</v>
      </c>
      <c r="J208" s="8" t="s">
        <v>404</v>
      </c>
      <c r="K208" s="18" t="s">
        <v>47</v>
      </c>
      <c r="L208" s="8" t="s">
        <v>556</v>
      </c>
      <c r="M208" s="29" cm="1">
        <f t="array" ref="M208">-SUMPRODUCT((B$2:B$224=B208)*((C$2:C$224&lt;C208)+(C$2:C$224=C208)*(ROW(G$2:G$224)&lt;=ROW(G208)))*G$2:G$224)</f>
        <v>1993.7094525570938</v>
      </c>
      <c r="N208" s="16" cm="1">
        <f t="array" ref="N208">-SUMPRODUCT((B$2:B$224=B208)*((C$2:C$224&lt;C208)+(C$2:C$224=C208)*(ROW(I$2:I$224)&lt;=ROW(I208)))*I$2:I$224)</f>
        <v>64112</v>
      </c>
      <c r="O208" s="16">
        <f>ROUND(テーブル10[[#This Row],[為替レート]]*テーブル10[[#This Row],[元残高]],0)</f>
        <v>46693</v>
      </c>
      <c r="P208" s="27">
        <f>テーブル10[[#This Row],[円残高]]-テーブル10[[#This Row],[円残高_時価]]</f>
        <v>17419</v>
      </c>
    </row>
    <row r="209" spans="1:16" ht="18" customHeight="1" x14ac:dyDescent="0.25">
      <c r="A209" s="8" t="s">
        <v>49</v>
      </c>
      <c r="B209" s="8" t="s">
        <v>70</v>
      </c>
      <c r="C209" s="9">
        <v>45995</v>
      </c>
      <c r="D209" s="22" t="s">
        <v>4</v>
      </c>
      <c r="E209" s="8" t="s">
        <v>69</v>
      </c>
      <c r="F209" s="8" t="s">
        <v>1</v>
      </c>
      <c r="G209" s="13">
        <v>23</v>
      </c>
      <c r="H209" s="3">
        <v>23.42</v>
      </c>
      <c r="I209" s="12">
        <f>ROUND(テーブル10[[#This Row],[元金額]]*テーブル10[[#This Row],[為替レート]],0)</f>
        <v>539</v>
      </c>
      <c r="J209" s="8" t="s">
        <v>404</v>
      </c>
      <c r="K209" s="18" t="s">
        <v>45</v>
      </c>
      <c r="L209" s="8" t="s">
        <v>557</v>
      </c>
      <c r="M209" s="29" cm="1">
        <f t="array" ref="M209">-SUMPRODUCT((B$2:B$224=B209)*((C$2:C$224&lt;C209)+(C$2:C$224=C209)*(ROW(G$2:G$224)&lt;=ROW(G209)))*G$2:G$224)</f>
        <v>1970.7094525570938</v>
      </c>
      <c r="N209" s="16" cm="1">
        <f t="array" ref="N209">-SUMPRODUCT((B$2:B$224=B209)*((C$2:C$224&lt;C209)+(C$2:C$224=C209)*(ROW(I$2:I$224)&lt;=ROW(I209)))*I$2:I$224)</f>
        <v>63573</v>
      </c>
      <c r="O209" s="16">
        <f>ROUND(テーブル10[[#This Row],[為替レート]]*テーブル10[[#This Row],[元残高]],0)</f>
        <v>46154</v>
      </c>
      <c r="P209" s="27">
        <f>テーブル10[[#This Row],[円残高]]-テーブル10[[#This Row],[円残高_時価]]</f>
        <v>17419</v>
      </c>
    </row>
    <row r="210" spans="1:16" ht="18" customHeight="1" x14ac:dyDescent="0.25">
      <c r="A210" s="8" t="s">
        <v>49</v>
      </c>
      <c r="B210" s="8" t="s">
        <v>70</v>
      </c>
      <c r="C210" s="9">
        <v>46016</v>
      </c>
      <c r="D210" s="22" t="s">
        <v>4</v>
      </c>
      <c r="E210" s="8" t="s">
        <v>10</v>
      </c>
      <c r="F210" s="8" t="s">
        <v>1</v>
      </c>
      <c r="G210" s="14">
        <v>1078</v>
      </c>
      <c r="H210" s="3">
        <v>23.42</v>
      </c>
      <c r="I210" s="12">
        <f>ROUND(テーブル10[[#This Row],[元金額]]*テーブル10[[#This Row],[為替レート]],0)</f>
        <v>25247</v>
      </c>
      <c r="J210" s="8" t="s">
        <v>404</v>
      </c>
      <c r="K210" s="18" t="s">
        <v>489</v>
      </c>
      <c r="L210" s="8" t="s">
        <v>558</v>
      </c>
      <c r="M210" s="29" cm="1">
        <f t="array" ref="M210">-SUMPRODUCT((B$2:B$224=B210)*((C$2:C$224&lt;C210)+(C$2:C$224=C210)*(ROW(G$2:G$224)&lt;=ROW(G210)))*G$2:G$224)</f>
        <v>892.70945255709375</v>
      </c>
      <c r="N210" s="16" cm="1">
        <f t="array" ref="N210">-SUMPRODUCT((B$2:B$224=B210)*((C$2:C$224&lt;C210)+(C$2:C$224=C210)*(ROW(I$2:I$224)&lt;=ROW(I210)))*I$2:I$224)</f>
        <v>38326</v>
      </c>
      <c r="O210" s="16">
        <f>ROUND(テーブル10[[#This Row],[為替レート]]*テーブル10[[#This Row],[元残高]],0)</f>
        <v>20907</v>
      </c>
      <c r="P210" s="27">
        <f>テーブル10[[#This Row],[円残高]]-テーブル10[[#This Row],[円残高_時価]]</f>
        <v>17419</v>
      </c>
    </row>
    <row r="211" spans="1:16" ht="18" customHeight="1" x14ac:dyDescent="0.25">
      <c r="A211" s="8" t="s">
        <v>49</v>
      </c>
      <c r="B211" s="8" t="s">
        <v>70</v>
      </c>
      <c r="C211" s="9">
        <v>46021</v>
      </c>
      <c r="D211" s="24" t="s">
        <v>4</v>
      </c>
      <c r="E211" s="8" t="s">
        <v>430</v>
      </c>
      <c r="F211" s="8" t="s">
        <v>1</v>
      </c>
      <c r="G211" s="13">
        <v>500</v>
      </c>
      <c r="H211" s="3">
        <v>23.42</v>
      </c>
      <c r="I211" s="12">
        <f>ROUND(テーブル10[[#This Row],[元金額]]*テーブル10[[#This Row],[為替レート]],0)</f>
        <v>11710</v>
      </c>
      <c r="J211" s="8" t="s">
        <v>404</v>
      </c>
      <c r="K211" s="18" t="s">
        <v>47</v>
      </c>
      <c r="L211" s="8" t="s">
        <v>559</v>
      </c>
      <c r="M211" s="34" cm="1">
        <f t="array" ref="M211">-SUMPRODUCT((B$2:B$224=B211)*((C$2:C$224&lt;C211)+(C$2:C$224=C211)*(ROW(G$2:G$224)&lt;=ROW(G211)))*G$2:G$224)</f>
        <v>392.70945255709375</v>
      </c>
      <c r="N211" s="2" cm="1">
        <f t="array" ref="N211">-SUMPRODUCT((B$2:B$224=B211)*((C$2:C$224&lt;C211)+(C$2:C$224=C211)*(ROW(I$2:I$224)&lt;=ROW(I211)))*I$2:I$224)</f>
        <v>26616</v>
      </c>
      <c r="O211" s="17">
        <f>ROUND(テーブル10[[#This Row],[為替レート]]*テーブル10[[#This Row],[元残高]],0)</f>
        <v>9197</v>
      </c>
      <c r="P211" s="27">
        <f>テーブル10[[#This Row],[円残高]]-テーブル10[[#This Row],[円残高_時価]]</f>
        <v>17419</v>
      </c>
    </row>
    <row r="212" spans="1:16" ht="18" customHeight="1" x14ac:dyDescent="0.25">
      <c r="A212" s="8" t="s">
        <v>49</v>
      </c>
      <c r="B212" s="8" t="s">
        <v>70</v>
      </c>
      <c r="C212" s="9">
        <v>46022</v>
      </c>
      <c r="D212" s="23" t="s">
        <v>405</v>
      </c>
      <c r="E212" s="8"/>
      <c r="F212" s="8" t="s">
        <v>1</v>
      </c>
      <c r="G212" s="13">
        <v>-0.1</v>
      </c>
      <c r="H212" s="3">
        <v>23.42</v>
      </c>
      <c r="I212" s="12">
        <v>11099</v>
      </c>
      <c r="J212" s="21" t="s">
        <v>404</v>
      </c>
      <c r="K212" s="18"/>
      <c r="L212" s="25" t="s">
        <v>516</v>
      </c>
      <c r="M212" s="29" cm="1">
        <f t="array" ref="M212">-SUMPRODUCT((B$2:B$224=B212)*((C$2:C$224&lt;C212)+(C$2:C$224=C212)*(ROW(G$2:G$224)&lt;=ROW(G212)))*G$2:G$224)</f>
        <v>392.80945255709378</v>
      </c>
      <c r="N212" s="16" cm="1">
        <f t="array" ref="N212">-SUMPRODUCT((B$2:B$224=B212)*((C$2:C$224&lt;C212)+(C$2:C$224=C212)*(ROW(I$2:I$224)&lt;=ROW(I212)))*I$2:I$224)</f>
        <v>15517</v>
      </c>
      <c r="O212" s="16">
        <f>ROUND(テーブル10[[#This Row],[為替レート]]*テーブル10[[#This Row],[元残高]],0)</f>
        <v>9200</v>
      </c>
      <c r="P212" s="27">
        <f>テーブル10[[#This Row],[円残高]]-テーブル10[[#This Row],[円残高_時価]]</f>
        <v>6317</v>
      </c>
    </row>
    <row r="213" spans="1:16" ht="18" customHeight="1" x14ac:dyDescent="0.25">
      <c r="A213" s="8" t="s">
        <v>49</v>
      </c>
      <c r="B213" s="8" t="s">
        <v>70</v>
      </c>
      <c r="C213" s="9">
        <v>46032</v>
      </c>
      <c r="D213" s="24" t="s">
        <v>4</v>
      </c>
      <c r="E213" s="8" t="s">
        <v>430</v>
      </c>
      <c r="F213" s="8" t="s">
        <v>1</v>
      </c>
      <c r="G213" s="13">
        <v>462.5</v>
      </c>
      <c r="H213" s="3">
        <v>23.42</v>
      </c>
      <c r="I213" s="12">
        <f>ROUND(テーブル10[[#This Row],[元金額]]*テーブル10[[#This Row],[為替レート]],0)</f>
        <v>10832</v>
      </c>
      <c r="J213" s="8" t="s">
        <v>404</v>
      </c>
      <c r="K213" s="18" t="s">
        <v>47</v>
      </c>
      <c r="L213" s="8" t="s">
        <v>561</v>
      </c>
      <c r="M213" s="34" cm="1">
        <f t="array" ref="M213">-SUMPRODUCT((B$2:B$224=B213)*((C$2:C$224&lt;C213)+(C$2:C$224=C213)*(ROW(G$2:G$224)&lt;=ROW(G213)))*G$2:G$224)</f>
        <v>-69.690547442906222</v>
      </c>
      <c r="N213" s="2" cm="1">
        <f t="array" ref="N213">-SUMPRODUCT((B$2:B$224=B213)*((C$2:C$224&lt;C213)+(C$2:C$224=C213)*(ROW(I$2:I$224)&lt;=ROW(I213)))*I$2:I$224)</f>
        <v>4685</v>
      </c>
      <c r="O213" s="17">
        <f>ROUND(テーブル10[[#This Row],[為替レート]]*テーブル10[[#This Row],[元残高]],0)</f>
        <v>-1632</v>
      </c>
      <c r="P213" s="27">
        <f>テーブル10[[#This Row],[円残高]]-テーブル10[[#This Row],[円残高_時価]]</f>
        <v>6317</v>
      </c>
    </row>
    <row r="214" spans="1:16" ht="18" customHeight="1" x14ac:dyDescent="0.25">
      <c r="A214" s="8" t="s">
        <v>49</v>
      </c>
      <c r="B214" s="8" t="s">
        <v>70</v>
      </c>
      <c r="C214" s="9">
        <v>46034</v>
      </c>
      <c r="D214" s="24" t="s">
        <v>4</v>
      </c>
      <c r="E214" s="8" t="s">
        <v>29</v>
      </c>
      <c r="F214" s="8" t="s">
        <v>1</v>
      </c>
      <c r="G214" s="13">
        <v>140</v>
      </c>
      <c r="H214" s="3">
        <v>23.42</v>
      </c>
      <c r="I214" s="12">
        <f>ROUND(テーブル10[[#This Row],[元金額]]*テーブル10[[#This Row],[為替レート]],0)</f>
        <v>3279</v>
      </c>
      <c r="J214" s="8" t="s">
        <v>404</v>
      </c>
      <c r="K214" s="18" t="s">
        <v>490</v>
      </c>
      <c r="L214" s="8" t="s">
        <v>560</v>
      </c>
      <c r="M214" s="34" cm="1">
        <f t="array" ref="M214">-SUMPRODUCT((B$2:B$224=B214)*((C$2:C$224&lt;C214)+(C$2:C$224=C214)*(ROW(G$2:G$224)&lt;=ROW(G214)))*G$2:G$224)</f>
        <v>-209.69054744290622</v>
      </c>
      <c r="N214" s="2" cm="1">
        <f t="array" ref="N214">-SUMPRODUCT((B$2:B$224=B214)*((C$2:C$224&lt;C214)+(C$2:C$224=C214)*(ROW(I$2:I$224)&lt;=ROW(I214)))*I$2:I$224)</f>
        <v>1406</v>
      </c>
      <c r="O214" s="17">
        <f>ROUND(テーブル10[[#This Row],[為替レート]]*テーブル10[[#This Row],[元残高]],0)</f>
        <v>-4911</v>
      </c>
      <c r="P214" s="27">
        <f>テーブル10[[#This Row],[円残高]]-テーブル10[[#This Row],[円残高_時価]]</f>
        <v>6317</v>
      </c>
    </row>
    <row r="215" spans="1:16" ht="18" customHeight="1" x14ac:dyDescent="0.25">
      <c r="A215" s="8" t="s">
        <v>49</v>
      </c>
      <c r="B215" s="8" t="s">
        <v>70</v>
      </c>
      <c r="C215" s="9">
        <v>46034</v>
      </c>
      <c r="D215" s="24" t="s">
        <v>4</v>
      </c>
      <c r="E215" s="8" t="s">
        <v>29</v>
      </c>
      <c r="F215" s="8" t="s">
        <v>1</v>
      </c>
      <c r="G215" s="13">
        <v>2265</v>
      </c>
      <c r="H215" s="3">
        <v>23.42</v>
      </c>
      <c r="I215" s="12">
        <f>ROUND(テーブル10[[#This Row],[元金額]]*テーブル10[[#This Row],[為替レート]],0)</f>
        <v>53046</v>
      </c>
      <c r="J215" s="8" t="s">
        <v>404</v>
      </c>
      <c r="K215" s="18" t="s">
        <v>491</v>
      </c>
      <c r="L215" s="8" t="s">
        <v>562</v>
      </c>
      <c r="M215" s="34" cm="1">
        <f t="array" ref="M215">-SUMPRODUCT((B$2:B$224=B215)*((C$2:C$224&lt;C215)+(C$2:C$224=C215)*(ROW(G$2:G$224)&lt;=ROW(G215)))*G$2:G$224)</f>
        <v>-2474.6905474429063</v>
      </c>
      <c r="N215" s="2" cm="1">
        <f t="array" ref="N215">-SUMPRODUCT((B$2:B$224=B215)*((C$2:C$224&lt;C215)+(C$2:C$224=C215)*(ROW(I$2:I$224)&lt;=ROW(I215)))*I$2:I$224)</f>
        <v>-51640</v>
      </c>
      <c r="O215" s="17">
        <f>ROUND(テーブル10[[#This Row],[為替レート]]*テーブル10[[#This Row],[元残高]],0)</f>
        <v>-57957</v>
      </c>
      <c r="P215" s="27">
        <f>テーブル10[[#This Row],[円残高]]-テーブル10[[#This Row],[円残高_時価]]</f>
        <v>6317</v>
      </c>
    </row>
    <row r="216" spans="1:16" ht="18" customHeight="1" x14ac:dyDescent="0.25">
      <c r="A216" s="8" t="s">
        <v>49</v>
      </c>
      <c r="B216" s="8" t="s">
        <v>70</v>
      </c>
      <c r="C216" s="9">
        <v>46034</v>
      </c>
      <c r="D216" s="24" t="s">
        <v>4</v>
      </c>
      <c r="E216" s="8" t="s">
        <v>29</v>
      </c>
      <c r="F216" s="8" t="s">
        <v>1</v>
      </c>
      <c r="G216" s="13">
        <v>141</v>
      </c>
      <c r="H216" s="3">
        <v>23.42</v>
      </c>
      <c r="I216" s="12">
        <f>ROUND(テーブル10[[#This Row],[元金額]]*テーブル10[[#This Row],[為替レート]],0)</f>
        <v>3302</v>
      </c>
      <c r="J216" s="8" t="s">
        <v>404</v>
      </c>
      <c r="K216" s="18" t="s">
        <v>498</v>
      </c>
      <c r="L216" s="8" t="s">
        <v>563</v>
      </c>
      <c r="M216" s="34" cm="1">
        <f t="array" ref="M216">-SUMPRODUCT((B$2:B$224=B216)*((C$2:C$224&lt;C216)+(C$2:C$224=C216)*(ROW(G$2:G$224)&lt;=ROW(G216)))*G$2:G$224)</f>
        <v>-2615.6905474429063</v>
      </c>
      <c r="N216" s="2" cm="1">
        <f t="array" ref="N216">-SUMPRODUCT((B$2:B$224=B216)*((C$2:C$224&lt;C216)+(C$2:C$224=C216)*(ROW(I$2:I$224)&lt;=ROW(I216)))*I$2:I$224)</f>
        <v>-54942</v>
      </c>
      <c r="O216" s="17">
        <f>ROUND(テーブル10[[#This Row],[為替レート]]*テーブル10[[#This Row],[元残高]],0)</f>
        <v>-61259</v>
      </c>
      <c r="P216" s="27">
        <f>テーブル10[[#This Row],[円残高]]-テーブル10[[#This Row],[円残高_時価]]</f>
        <v>6317</v>
      </c>
    </row>
    <row r="217" spans="1:16" ht="18" customHeight="1" x14ac:dyDescent="0.25">
      <c r="A217" s="8" t="s">
        <v>49</v>
      </c>
      <c r="B217" s="8" t="s">
        <v>70</v>
      </c>
      <c r="C217" s="9">
        <v>46034</v>
      </c>
      <c r="D217" s="24" t="s">
        <v>4</v>
      </c>
      <c r="E217" s="8" t="s">
        <v>430</v>
      </c>
      <c r="F217" s="8" t="s">
        <v>1</v>
      </c>
      <c r="G217" s="13">
        <v>550</v>
      </c>
      <c r="H217" s="3">
        <v>23.42</v>
      </c>
      <c r="I217" s="12">
        <f>ROUND(テーブル10[[#This Row],[元金額]]*テーブル10[[#This Row],[為替レート]],0)</f>
        <v>12881</v>
      </c>
      <c r="J217" s="8" t="s">
        <v>404</v>
      </c>
      <c r="K217" s="18" t="s">
        <v>47</v>
      </c>
      <c r="L217" s="8" t="s">
        <v>564</v>
      </c>
      <c r="M217" s="34" cm="1">
        <f t="array" ref="M217">-SUMPRODUCT((B$2:B$224=B217)*((C$2:C$224&lt;C217)+(C$2:C$224=C217)*(ROW(G$2:G$224)&lt;=ROW(G217)))*G$2:G$224)</f>
        <v>-3165.6905474429063</v>
      </c>
      <c r="N217" s="2" cm="1">
        <f t="array" ref="N217">-SUMPRODUCT((B$2:B$224=B217)*((C$2:C$224&lt;C217)+(C$2:C$224=C217)*(ROW(I$2:I$224)&lt;=ROW(I217)))*I$2:I$224)</f>
        <v>-67823</v>
      </c>
      <c r="O217" s="17">
        <f>ROUND(テーブル10[[#This Row],[為替レート]]*テーブル10[[#This Row],[元残高]],0)</f>
        <v>-74140</v>
      </c>
      <c r="P217" s="27">
        <f>テーブル10[[#This Row],[円残高]]-テーブル10[[#This Row],[円残高_時価]]</f>
        <v>6317</v>
      </c>
    </row>
    <row r="218" spans="1:16" ht="18" customHeight="1" x14ac:dyDescent="0.25">
      <c r="A218" s="8" t="s">
        <v>49</v>
      </c>
      <c r="B218" s="8" t="s">
        <v>70</v>
      </c>
      <c r="C218" s="9">
        <v>46035</v>
      </c>
      <c r="D218" s="22" t="s">
        <v>90</v>
      </c>
      <c r="E218" s="8"/>
      <c r="F218" s="8" t="s">
        <v>1</v>
      </c>
      <c r="G218" s="13">
        <f>-100000/24</f>
        <v>-4166.666666666667</v>
      </c>
      <c r="H218" s="3">
        <v>24</v>
      </c>
      <c r="I218" s="12">
        <f>ROUND(テーブル10[[#This Row],[元金額]]*テーブル10[[#This Row],[為替レート]],0)</f>
        <v>-100000</v>
      </c>
      <c r="J218" s="21" t="s">
        <v>404</v>
      </c>
      <c r="K218" s="18"/>
      <c r="L218" s="8" t="s">
        <v>565</v>
      </c>
      <c r="M218" s="34" cm="1">
        <f t="array" ref="M218">-SUMPRODUCT((B$2:B$224=B218)*((C$2:C$224&lt;C218)+(C$2:C$224=C218)*(ROW(G$2:G$224)&lt;=ROW(G218)))*G$2:G$224)</f>
        <v>1000.9761192237606</v>
      </c>
      <c r="N218" s="2" cm="1">
        <f t="array" ref="N218">-SUMPRODUCT((B$2:B$224=B218)*((C$2:C$224&lt;C218)+(C$2:C$224=C218)*(ROW(I$2:I$224)&lt;=ROW(I218)))*I$2:I$224)</f>
        <v>32177</v>
      </c>
      <c r="O218" s="17">
        <f>ROUND(テーブル10[[#This Row],[為替レート]]*テーブル10[[#This Row],[元残高]],0)</f>
        <v>24023</v>
      </c>
      <c r="P218" s="27">
        <f>テーブル10[[#This Row],[円残高]]-テーブル10[[#This Row],[円残高_時価]]</f>
        <v>8154</v>
      </c>
    </row>
    <row r="219" spans="1:16" ht="18" customHeight="1" x14ac:dyDescent="0.25">
      <c r="A219" s="8" t="s">
        <v>49</v>
      </c>
      <c r="B219" s="8" t="s">
        <v>70</v>
      </c>
      <c r="C219" s="9">
        <v>46035</v>
      </c>
      <c r="D219" s="24" t="s">
        <v>63</v>
      </c>
      <c r="E219" s="8"/>
      <c r="F219" s="8" t="s">
        <v>1</v>
      </c>
      <c r="G219" s="13">
        <f>-G218*0.02</f>
        <v>83.333333333333343</v>
      </c>
      <c r="H219" s="3">
        <v>24</v>
      </c>
      <c r="I219" s="12">
        <f>ROUND(テーブル10[[#This Row],[元金額]]*テーブル10[[#This Row],[為替レート]],0)</f>
        <v>2000</v>
      </c>
      <c r="J219" s="21" t="s">
        <v>404</v>
      </c>
      <c r="K219" s="18"/>
      <c r="L219" s="8" t="s">
        <v>566</v>
      </c>
      <c r="M219" s="34" cm="1">
        <f t="array" ref="M219">-SUMPRODUCT((B$2:B$224=B219)*((C$2:C$224&lt;C219)+(C$2:C$224=C219)*(ROW(G$2:G$224)&lt;=ROW(G219)))*G$2:G$224)</f>
        <v>917.64278589042726</v>
      </c>
      <c r="N219" s="2" cm="1">
        <f t="array" ref="N219">-SUMPRODUCT((B$2:B$224=B219)*((C$2:C$224&lt;C219)+(C$2:C$224=C219)*(ROW(I$2:I$224)&lt;=ROW(I219)))*I$2:I$224)</f>
        <v>30177</v>
      </c>
      <c r="O219" s="17">
        <f>ROUND(テーブル10[[#This Row],[為替レート]]*テーブル10[[#This Row],[元残高]],0)</f>
        <v>22023</v>
      </c>
      <c r="P219" s="27">
        <f>テーブル10[[#This Row],[円残高]]-テーブル10[[#This Row],[円残高_時価]]</f>
        <v>8154</v>
      </c>
    </row>
    <row r="220" spans="1:16" ht="18" customHeight="1" x14ac:dyDescent="0.25">
      <c r="A220" s="8" t="s">
        <v>49</v>
      </c>
      <c r="B220" s="8" t="s">
        <v>70</v>
      </c>
      <c r="C220" s="9">
        <v>46036</v>
      </c>
      <c r="D220" s="24" t="s">
        <v>4</v>
      </c>
      <c r="E220" s="8" t="s">
        <v>430</v>
      </c>
      <c r="F220" s="8" t="s">
        <v>1</v>
      </c>
      <c r="G220" s="13">
        <v>125</v>
      </c>
      <c r="H220" s="3">
        <v>24</v>
      </c>
      <c r="I220" s="12">
        <f>ROUND(テーブル10[[#This Row],[元金額]]*テーブル10[[#This Row],[為替レート]],0)</f>
        <v>3000</v>
      </c>
      <c r="J220" s="8" t="s">
        <v>404</v>
      </c>
      <c r="K220" s="18" t="s">
        <v>47</v>
      </c>
      <c r="L220" s="8" t="s">
        <v>567</v>
      </c>
      <c r="M220" s="34" cm="1">
        <f t="array" ref="M220">-SUMPRODUCT((B$2:B$224=B220)*((C$2:C$224&lt;C220)+(C$2:C$224=C220)*(ROW(G$2:G$224)&lt;=ROW(G220)))*G$2:G$224)</f>
        <v>792.64278589042726</v>
      </c>
      <c r="N220" s="2" cm="1">
        <f t="array" ref="N220">-SUMPRODUCT((B$2:B$224=B220)*((C$2:C$224&lt;C220)+(C$2:C$224=C220)*(ROW(I$2:I$224)&lt;=ROW(I220)))*I$2:I$224)</f>
        <v>27177</v>
      </c>
      <c r="O220" s="17">
        <f>ROUND(テーブル10[[#This Row],[為替レート]]*テーブル10[[#This Row],[元残高]],0)</f>
        <v>19023</v>
      </c>
      <c r="P220" s="27">
        <f>テーブル10[[#This Row],[円残高]]-テーブル10[[#This Row],[円残高_時価]]</f>
        <v>8154</v>
      </c>
    </row>
    <row r="221" spans="1:16" ht="18" customHeight="1" x14ac:dyDescent="0.25">
      <c r="A221" s="8" t="s">
        <v>49</v>
      </c>
      <c r="B221" s="8" t="s">
        <v>70</v>
      </c>
      <c r="C221" s="9">
        <v>46044</v>
      </c>
      <c r="D221" s="22" t="s">
        <v>24</v>
      </c>
      <c r="E221" s="8"/>
      <c r="F221" s="8" t="s">
        <v>1</v>
      </c>
      <c r="G221" s="13">
        <v>748</v>
      </c>
      <c r="H221" s="3">
        <v>24</v>
      </c>
      <c r="I221" s="12">
        <f>ROUND(テーブル10[[#This Row],[元金額]]*テーブル10[[#This Row],[為替レート]],0)</f>
        <v>17952</v>
      </c>
      <c r="J221" s="21" t="s">
        <v>404</v>
      </c>
      <c r="K221" s="18" t="s">
        <v>493</v>
      </c>
      <c r="L221" s="8" t="s">
        <v>568</v>
      </c>
      <c r="M221" s="34" cm="1">
        <f t="array" ref="M221">-SUMPRODUCT((B$2:B$224=B221)*((C$2:C$224&lt;C221)+(C$2:C$224=C221)*(ROW(G$2:G$224)&lt;=ROW(G221)))*G$2:G$224)</f>
        <v>44.642785890427263</v>
      </c>
      <c r="N221" s="2" cm="1">
        <f t="array" ref="N221">-SUMPRODUCT((B$2:B$224=B221)*((C$2:C$224&lt;C221)+(C$2:C$224=C221)*(ROW(I$2:I$224)&lt;=ROW(I221)))*I$2:I$224)</f>
        <v>9225</v>
      </c>
      <c r="O221" s="17">
        <f>ROUND(テーブル10[[#This Row],[為替レート]]*テーブル10[[#This Row],[元残高]],0)</f>
        <v>1071</v>
      </c>
      <c r="P221" s="27">
        <f>テーブル10[[#This Row],[円残高]]-テーブル10[[#This Row],[円残高_時価]]</f>
        <v>8154</v>
      </c>
    </row>
    <row r="222" spans="1:16" ht="18" customHeight="1" x14ac:dyDescent="0.25">
      <c r="A222" s="8" t="s">
        <v>49</v>
      </c>
      <c r="B222" s="8" t="s">
        <v>70</v>
      </c>
      <c r="C222" s="9">
        <v>46051</v>
      </c>
      <c r="D222" s="24" t="s">
        <v>4</v>
      </c>
      <c r="E222" s="8" t="s">
        <v>430</v>
      </c>
      <c r="F222" s="8" t="s">
        <v>1</v>
      </c>
      <c r="G222" s="13">
        <v>375</v>
      </c>
      <c r="H222" s="3">
        <v>24</v>
      </c>
      <c r="I222" s="12">
        <f>ROUND(テーブル10[[#This Row],[元金額]]*テーブル10[[#This Row],[為替レート]],0)</f>
        <v>9000</v>
      </c>
      <c r="J222" s="8" t="s">
        <v>404</v>
      </c>
      <c r="K222" s="18" t="s">
        <v>491</v>
      </c>
      <c r="L222" s="8" t="s">
        <v>569</v>
      </c>
      <c r="M222" s="34" cm="1">
        <f t="array" ref="M222">-SUMPRODUCT((B$2:B$224=B222)*((C$2:C$224&lt;C222)+(C$2:C$224=C222)*(ROW(G$2:G$224)&lt;=ROW(G222)))*G$2:G$224)</f>
        <v>-330.35721410957274</v>
      </c>
      <c r="N222" s="2" cm="1">
        <f t="array" ref="N222">-SUMPRODUCT((B$2:B$224=B222)*((C$2:C$224&lt;C222)+(C$2:C$224=C222)*(ROW(I$2:I$224)&lt;=ROW(I222)))*I$2:I$224)</f>
        <v>225</v>
      </c>
      <c r="O222" s="17">
        <f>ROUND(テーブル10[[#This Row],[為替レート]]*テーブル10[[#This Row],[元残高]],0)</f>
        <v>-7929</v>
      </c>
      <c r="P222" s="27">
        <f>テーブル10[[#This Row],[円残高]]-テーブル10[[#This Row],[円残高_時価]]</f>
        <v>8154</v>
      </c>
    </row>
    <row r="223" spans="1:16" ht="18" customHeight="1" x14ac:dyDescent="0.25">
      <c r="A223" s="8" t="s">
        <v>49</v>
      </c>
      <c r="B223" s="8" t="s">
        <v>70</v>
      </c>
      <c r="C223" s="9">
        <v>46056</v>
      </c>
      <c r="D223" s="22" t="s">
        <v>90</v>
      </c>
      <c r="E223" s="8"/>
      <c r="F223" s="8" t="s">
        <v>1</v>
      </c>
      <c r="G223" s="13">
        <f>-100000/23.72</f>
        <v>-4215.8516020236093</v>
      </c>
      <c r="H223" s="3">
        <v>23.72</v>
      </c>
      <c r="I223" s="12">
        <f>ROUND(テーブル10[[#This Row],[元金額]]*テーブル10[[#This Row],[為替レート]],0)</f>
        <v>-100000</v>
      </c>
      <c r="J223" s="21"/>
      <c r="K223" s="18"/>
      <c r="L223" s="8" t="s">
        <v>570</v>
      </c>
      <c r="M223" s="34" cm="1">
        <f t="array" ref="M223">-SUMPRODUCT((B$2:B$224=B223)*((C$2:C$224&lt;C223)+(C$2:C$224=C223)*(ROW(G$2:G$224)&lt;=ROW(G223)))*G$2:G$224)</f>
        <v>3885.4943879140365</v>
      </c>
      <c r="N223" s="2" cm="1">
        <f t="array" ref="N223">-SUMPRODUCT((B$2:B$224=B223)*((C$2:C$224&lt;C223)+(C$2:C$224=C223)*(ROW(I$2:I$224)&lt;=ROW(I223)))*I$2:I$224)</f>
        <v>100225</v>
      </c>
      <c r="O223" s="17">
        <f>ROUND(テーブル10[[#This Row],[為替レート]]*テーブル10[[#This Row],[元残高]],0)</f>
        <v>92164</v>
      </c>
      <c r="P223" s="27">
        <f>テーブル10[[#This Row],[円残高]]-テーブル10[[#This Row],[円残高_時価]]</f>
        <v>8061</v>
      </c>
    </row>
    <row r="224" spans="1:16" ht="18" customHeight="1" x14ac:dyDescent="0.25">
      <c r="A224" s="8" t="s">
        <v>49</v>
      </c>
      <c r="B224" s="8" t="s">
        <v>70</v>
      </c>
      <c r="C224" s="9">
        <v>46056</v>
      </c>
      <c r="D224" s="24" t="s">
        <v>63</v>
      </c>
      <c r="E224" s="8"/>
      <c r="F224" s="8" t="s">
        <v>1</v>
      </c>
      <c r="G224" s="13">
        <f>-G223*0.02</f>
        <v>84.317032040472185</v>
      </c>
      <c r="H224" s="3">
        <v>23.72</v>
      </c>
      <c r="I224" s="12">
        <f>ROUND(テーブル10[[#This Row],[元金額]]*テーブル10[[#This Row],[為替レート]],0)</f>
        <v>2000</v>
      </c>
      <c r="J224" s="21"/>
      <c r="K224" s="18"/>
      <c r="L224" s="8" t="s">
        <v>571</v>
      </c>
      <c r="M224" s="34" cm="1">
        <f t="array" ref="M224">-SUMPRODUCT((B$2:B$224=B224)*((C$2:C$224&lt;C224)+(C$2:C$224=C224)*(ROW(G$2:G$224)&lt;=ROW(G224)))*G$2:G$224)</f>
        <v>3801.1773558735645</v>
      </c>
      <c r="N224" s="2" cm="1">
        <f t="array" ref="N224">-SUMPRODUCT((B$2:B$224=B224)*((C$2:C$224&lt;C224)+(C$2:C$224=C224)*(ROW(I$2:I$224)&lt;=ROW(I224)))*I$2:I$224)</f>
        <v>98225</v>
      </c>
      <c r="O224" s="17">
        <f>ROUND(テーブル10[[#This Row],[為替レート]]*テーブル10[[#This Row],[元残高]],0)</f>
        <v>90164</v>
      </c>
      <c r="P224" s="27">
        <f>テーブル10[[#This Row],[円残高]]-テーブル10[[#This Row],[円残高_時価]]</f>
        <v>8061</v>
      </c>
    </row>
  </sheetData>
  <phoneticPr fontId="18"/>
  <dataValidations count="4">
    <dataValidation type="list" allowBlank="1" showInputMessage="1" showErrorMessage="1" sqref="E2:E32 E166 E164 E205:E206 E208 E210:E212 E218 E34:E161" xr:uid="{B696FBA0-7C35-42DE-BEA8-11ACBC8E015B}">
      <formula1>"商品代金,検品梱包,中国国内送料,国際送料,関税消費税等,その他,入出金"</formula1>
    </dataValidation>
    <dataValidation type="list" allowBlank="1" showInputMessage="1" showErrorMessage="1" sqref="F2:F224" xr:uid="{1CD712A0-FCA1-489A-AFBC-FD1B46449BF8}">
      <formula1>"課対仕入10%,対象外"</formula1>
    </dataValidation>
    <dataValidation type="list" allowBlank="1" showInputMessage="1" showErrorMessage="1" sqref="B2:B224" xr:uid="{6344F16A-CFE2-463E-AC4E-092AF3E8E009}">
      <formula1>"ESPRIME,YP,THE直行便"</formula1>
    </dataValidation>
    <dataValidation type="list" allowBlank="1" showInputMessage="1" showErrorMessage="1" sqref="J2:J224" xr:uid="{D4420F53-ADB6-4147-B6B3-763F52F3BB06}">
      <formula1>"alloc_po,alloc_shipment"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66A2160-4D14-4B02-923F-C4F9A464EF0A}">
          <x14:formula1>
            <xm:f>freee勘定科目!$A$2:$A$166</xm:f>
          </x14:formula1>
          <xm:sqref>E33 D2:D224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FD582-CE75-473E-A020-DFDE05C5504D}">
  <dimension ref="A1:L166"/>
  <sheetViews>
    <sheetView workbookViewId="0">
      <selection activeCell="O1" sqref="O1"/>
    </sheetView>
  </sheetViews>
  <sheetFormatPr defaultRowHeight="18" x14ac:dyDescent="0.55000000000000004"/>
  <cols>
    <col min="1" max="1" width="16.9140625" customWidth="1"/>
    <col min="2" max="2" width="17.1640625" customWidth="1"/>
    <col min="3" max="3" width="11.5" customWidth="1"/>
    <col min="4" max="4" width="22.6640625" customWidth="1"/>
    <col min="5" max="5" width="12.6640625" customWidth="1"/>
  </cols>
  <sheetData>
    <row r="1" spans="1:12" x14ac:dyDescent="0.55000000000000004">
      <c r="A1" t="s">
        <v>54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53</v>
      </c>
      <c r="I1" t="s">
        <v>77</v>
      </c>
      <c r="J1" t="s">
        <v>78</v>
      </c>
      <c r="K1" t="s">
        <v>79</v>
      </c>
      <c r="L1" t="s">
        <v>394</v>
      </c>
    </row>
    <row r="2" spans="1:12" x14ac:dyDescent="0.55000000000000004">
      <c r="A2" t="s">
        <v>0</v>
      </c>
      <c r="B2" t="s">
        <v>0</v>
      </c>
      <c r="C2" t="s">
        <v>80</v>
      </c>
      <c r="D2" t="s">
        <v>81</v>
      </c>
      <c r="E2" t="s">
        <v>82</v>
      </c>
      <c r="F2" t="s">
        <v>83</v>
      </c>
      <c r="G2" t="s">
        <v>84</v>
      </c>
      <c r="H2" t="s">
        <v>1</v>
      </c>
      <c r="I2" t="s">
        <v>85</v>
      </c>
      <c r="K2" t="s">
        <v>86</v>
      </c>
    </row>
    <row r="3" spans="1:12" x14ac:dyDescent="0.55000000000000004">
      <c r="A3" t="s">
        <v>87</v>
      </c>
      <c r="B3" t="s">
        <v>88</v>
      </c>
      <c r="C3" t="s">
        <v>80</v>
      </c>
      <c r="D3" t="s">
        <v>81</v>
      </c>
      <c r="E3" t="s">
        <v>82</v>
      </c>
      <c r="F3" t="s">
        <v>83</v>
      </c>
      <c r="G3" t="s">
        <v>84</v>
      </c>
      <c r="H3" t="s">
        <v>1</v>
      </c>
      <c r="K3" t="s">
        <v>86</v>
      </c>
    </row>
    <row r="4" spans="1:12" x14ac:dyDescent="0.55000000000000004">
      <c r="A4" t="s">
        <v>89</v>
      </c>
      <c r="B4" t="s">
        <v>0</v>
      </c>
      <c r="C4" t="s">
        <v>80</v>
      </c>
      <c r="D4" t="s">
        <v>81</v>
      </c>
      <c r="E4" t="s">
        <v>82</v>
      </c>
      <c r="F4" t="s">
        <v>83</v>
      </c>
      <c r="G4" t="s">
        <v>84</v>
      </c>
      <c r="H4" t="s">
        <v>1</v>
      </c>
      <c r="K4" t="s">
        <v>86</v>
      </c>
    </row>
    <row r="5" spans="1:12" x14ac:dyDescent="0.55000000000000004">
      <c r="A5" t="s">
        <v>90</v>
      </c>
      <c r="B5" t="s">
        <v>88</v>
      </c>
      <c r="C5" t="s">
        <v>80</v>
      </c>
      <c r="D5" t="s">
        <v>81</v>
      </c>
      <c r="E5" t="s">
        <v>82</v>
      </c>
      <c r="F5" t="s">
        <v>83</v>
      </c>
      <c r="G5" t="s">
        <v>84</v>
      </c>
      <c r="H5" t="s">
        <v>1</v>
      </c>
      <c r="K5" t="s">
        <v>86</v>
      </c>
    </row>
    <row r="6" spans="1:12" x14ac:dyDescent="0.55000000000000004">
      <c r="A6" t="s">
        <v>70</v>
      </c>
      <c r="B6" t="s">
        <v>0</v>
      </c>
      <c r="C6" t="s">
        <v>80</v>
      </c>
      <c r="D6" t="s">
        <v>81</v>
      </c>
      <c r="E6" t="s">
        <v>82</v>
      </c>
      <c r="F6" t="s">
        <v>83</v>
      </c>
      <c r="G6" t="s">
        <v>84</v>
      </c>
      <c r="H6" t="s">
        <v>1</v>
      </c>
      <c r="K6" t="s">
        <v>86</v>
      </c>
    </row>
    <row r="7" spans="1:12" x14ac:dyDescent="0.55000000000000004">
      <c r="A7" t="s">
        <v>91</v>
      </c>
      <c r="B7" t="s">
        <v>88</v>
      </c>
      <c r="C7" t="s">
        <v>80</v>
      </c>
      <c r="D7" t="s">
        <v>81</v>
      </c>
      <c r="E7" t="s">
        <v>82</v>
      </c>
      <c r="F7" t="s">
        <v>8</v>
      </c>
      <c r="G7" t="s">
        <v>92</v>
      </c>
      <c r="H7" t="s">
        <v>1</v>
      </c>
      <c r="K7" t="s">
        <v>86</v>
      </c>
    </row>
    <row r="8" spans="1:12" x14ac:dyDescent="0.55000000000000004">
      <c r="A8" t="s">
        <v>93</v>
      </c>
      <c r="B8" t="s">
        <v>0</v>
      </c>
      <c r="C8" t="s">
        <v>80</v>
      </c>
      <c r="D8" t="s">
        <v>81</v>
      </c>
      <c r="E8" t="s">
        <v>82</v>
      </c>
      <c r="F8" t="s">
        <v>83</v>
      </c>
      <c r="G8" t="s">
        <v>84</v>
      </c>
      <c r="H8" t="s">
        <v>1</v>
      </c>
      <c r="K8" t="s">
        <v>86</v>
      </c>
    </row>
    <row r="9" spans="1:12" x14ac:dyDescent="0.55000000000000004">
      <c r="A9" t="s">
        <v>94</v>
      </c>
      <c r="B9" t="s">
        <v>88</v>
      </c>
      <c r="C9" t="s">
        <v>80</v>
      </c>
      <c r="D9" t="s">
        <v>81</v>
      </c>
      <c r="E9" t="s">
        <v>82</v>
      </c>
      <c r="F9" t="s">
        <v>8</v>
      </c>
      <c r="G9" t="s">
        <v>84</v>
      </c>
      <c r="H9" t="s">
        <v>1</v>
      </c>
      <c r="K9" t="s">
        <v>86</v>
      </c>
    </row>
    <row r="10" spans="1:12" x14ac:dyDescent="0.55000000000000004">
      <c r="A10" t="s">
        <v>65</v>
      </c>
      <c r="B10" t="s">
        <v>0</v>
      </c>
      <c r="C10" t="s">
        <v>80</v>
      </c>
      <c r="D10" t="s">
        <v>81</v>
      </c>
      <c r="E10" t="s">
        <v>82</v>
      </c>
      <c r="F10" t="s">
        <v>83</v>
      </c>
      <c r="G10" t="s">
        <v>84</v>
      </c>
      <c r="H10" t="s">
        <v>1</v>
      </c>
      <c r="K10" t="s">
        <v>86</v>
      </c>
    </row>
    <row r="11" spans="1:12" x14ac:dyDescent="0.55000000000000004">
      <c r="A11" t="s">
        <v>9</v>
      </c>
      <c r="B11" t="s">
        <v>9</v>
      </c>
      <c r="C11" t="s">
        <v>95</v>
      </c>
      <c r="D11" t="s">
        <v>81</v>
      </c>
      <c r="E11" t="s">
        <v>82</v>
      </c>
      <c r="F11" t="s">
        <v>83</v>
      </c>
      <c r="G11" t="s">
        <v>84</v>
      </c>
      <c r="H11" t="s">
        <v>1</v>
      </c>
      <c r="I11" t="s">
        <v>96</v>
      </c>
      <c r="J11">
        <v>120</v>
      </c>
      <c r="K11" t="s">
        <v>86</v>
      </c>
    </row>
    <row r="12" spans="1:12" x14ac:dyDescent="0.55000000000000004">
      <c r="A12" t="s">
        <v>97</v>
      </c>
      <c r="B12" t="s">
        <v>9</v>
      </c>
      <c r="C12" t="s">
        <v>95</v>
      </c>
      <c r="D12" t="s">
        <v>81</v>
      </c>
      <c r="E12" t="s">
        <v>82</v>
      </c>
      <c r="F12" t="s">
        <v>83</v>
      </c>
      <c r="G12" t="s">
        <v>84</v>
      </c>
      <c r="H12" t="s">
        <v>1</v>
      </c>
      <c r="I12" t="s">
        <v>98</v>
      </c>
      <c r="J12">
        <v>121</v>
      </c>
      <c r="K12" t="s">
        <v>86</v>
      </c>
    </row>
    <row r="13" spans="1:12" x14ac:dyDescent="0.55000000000000004">
      <c r="A13" t="s">
        <v>8</v>
      </c>
      <c r="B13" t="s">
        <v>8</v>
      </c>
      <c r="C13" t="s">
        <v>95</v>
      </c>
      <c r="D13" t="s">
        <v>81</v>
      </c>
      <c r="E13" t="s">
        <v>82</v>
      </c>
      <c r="F13" t="s">
        <v>83</v>
      </c>
      <c r="G13" t="s">
        <v>84</v>
      </c>
      <c r="H13" t="s">
        <v>1</v>
      </c>
      <c r="I13" t="s">
        <v>99</v>
      </c>
      <c r="J13">
        <v>130</v>
      </c>
      <c r="K13" t="s">
        <v>86</v>
      </c>
    </row>
    <row r="14" spans="1:12" x14ac:dyDescent="0.55000000000000004">
      <c r="A14" t="s">
        <v>83</v>
      </c>
      <c r="B14" t="s">
        <v>8</v>
      </c>
      <c r="C14" t="s">
        <v>95</v>
      </c>
      <c r="D14" t="s">
        <v>81</v>
      </c>
      <c r="E14" t="s">
        <v>82</v>
      </c>
      <c r="F14" t="s">
        <v>83</v>
      </c>
      <c r="G14" t="s">
        <v>84</v>
      </c>
      <c r="H14" t="s">
        <v>1</v>
      </c>
      <c r="I14" t="s">
        <v>100</v>
      </c>
      <c r="J14">
        <v>164</v>
      </c>
      <c r="K14" t="s">
        <v>86</v>
      </c>
    </row>
    <row r="15" spans="1:12" x14ac:dyDescent="0.55000000000000004">
      <c r="A15" t="s">
        <v>101</v>
      </c>
      <c r="B15" t="s">
        <v>101</v>
      </c>
      <c r="C15" t="s">
        <v>101</v>
      </c>
      <c r="D15" t="s">
        <v>81</v>
      </c>
      <c r="E15" t="s">
        <v>82</v>
      </c>
      <c r="F15" t="s">
        <v>83</v>
      </c>
      <c r="G15" t="s">
        <v>84</v>
      </c>
      <c r="H15" t="s">
        <v>1</v>
      </c>
      <c r="I15" t="s">
        <v>102</v>
      </c>
      <c r="J15">
        <v>140</v>
      </c>
      <c r="K15" t="s">
        <v>86</v>
      </c>
    </row>
    <row r="16" spans="1:12" x14ac:dyDescent="0.55000000000000004">
      <c r="A16" t="s">
        <v>103</v>
      </c>
      <c r="B16" t="s">
        <v>104</v>
      </c>
      <c r="C16" t="s">
        <v>104</v>
      </c>
      <c r="E16" t="s">
        <v>82</v>
      </c>
      <c r="F16" t="s">
        <v>83</v>
      </c>
      <c r="G16" t="s">
        <v>84</v>
      </c>
      <c r="H16" t="s">
        <v>105</v>
      </c>
      <c r="I16" t="s">
        <v>106</v>
      </c>
      <c r="J16">
        <v>280</v>
      </c>
      <c r="K16" t="s">
        <v>86</v>
      </c>
    </row>
    <row r="17" spans="1:11" x14ac:dyDescent="0.55000000000000004">
      <c r="A17" t="s">
        <v>107</v>
      </c>
      <c r="B17" t="s">
        <v>104</v>
      </c>
      <c r="C17" t="s">
        <v>104</v>
      </c>
      <c r="E17" t="s">
        <v>82</v>
      </c>
      <c r="F17" t="s">
        <v>83</v>
      </c>
      <c r="G17" t="s">
        <v>84</v>
      </c>
      <c r="H17" t="s">
        <v>105</v>
      </c>
      <c r="I17" t="s">
        <v>108</v>
      </c>
      <c r="J17">
        <v>281</v>
      </c>
      <c r="K17" t="s">
        <v>86</v>
      </c>
    </row>
    <row r="18" spans="1:11" x14ac:dyDescent="0.55000000000000004">
      <c r="A18" t="s">
        <v>66</v>
      </c>
      <c r="B18" t="s">
        <v>66</v>
      </c>
      <c r="C18" t="s">
        <v>109</v>
      </c>
      <c r="D18" t="s">
        <v>81</v>
      </c>
      <c r="E18" t="s">
        <v>82</v>
      </c>
      <c r="F18" t="s">
        <v>83</v>
      </c>
      <c r="G18" t="s">
        <v>84</v>
      </c>
      <c r="H18" t="s">
        <v>1</v>
      </c>
      <c r="I18" t="s">
        <v>110</v>
      </c>
      <c r="J18">
        <v>150</v>
      </c>
      <c r="K18" t="s">
        <v>86</v>
      </c>
    </row>
    <row r="19" spans="1:11" x14ac:dyDescent="0.55000000000000004">
      <c r="A19" t="s">
        <v>111</v>
      </c>
      <c r="B19" t="s">
        <v>66</v>
      </c>
      <c r="C19" t="s">
        <v>109</v>
      </c>
      <c r="D19" t="s">
        <v>81</v>
      </c>
      <c r="E19" t="s">
        <v>82</v>
      </c>
      <c r="F19" t="s">
        <v>83</v>
      </c>
      <c r="G19" t="s">
        <v>84</v>
      </c>
      <c r="H19" t="s">
        <v>1</v>
      </c>
      <c r="I19" t="s">
        <v>112</v>
      </c>
      <c r="J19">
        <v>151</v>
      </c>
      <c r="K19" t="s">
        <v>86</v>
      </c>
    </row>
    <row r="20" spans="1:11" x14ac:dyDescent="0.55000000000000004">
      <c r="A20" t="s">
        <v>113</v>
      </c>
      <c r="B20" t="s">
        <v>66</v>
      </c>
      <c r="C20" t="s">
        <v>109</v>
      </c>
      <c r="D20" t="s">
        <v>81</v>
      </c>
      <c r="E20" t="s">
        <v>82</v>
      </c>
      <c r="F20" t="s">
        <v>83</v>
      </c>
      <c r="G20" t="s">
        <v>84</v>
      </c>
      <c r="H20" t="s">
        <v>1</v>
      </c>
      <c r="I20" t="s">
        <v>114</v>
      </c>
      <c r="J20">
        <v>152</v>
      </c>
      <c r="K20" t="s">
        <v>86</v>
      </c>
    </row>
    <row r="21" spans="1:11" x14ac:dyDescent="0.55000000000000004">
      <c r="A21" t="s">
        <v>115</v>
      </c>
      <c r="B21" t="s">
        <v>66</v>
      </c>
      <c r="C21" t="s">
        <v>109</v>
      </c>
      <c r="D21" t="s">
        <v>81</v>
      </c>
      <c r="E21" t="s">
        <v>82</v>
      </c>
      <c r="F21" t="s">
        <v>83</v>
      </c>
      <c r="G21" t="s">
        <v>84</v>
      </c>
      <c r="H21" t="s">
        <v>1</v>
      </c>
      <c r="I21" t="s">
        <v>116</v>
      </c>
      <c r="J21">
        <v>153</v>
      </c>
      <c r="K21" t="s">
        <v>86</v>
      </c>
    </row>
    <row r="22" spans="1:11" x14ac:dyDescent="0.55000000000000004">
      <c r="A22" t="s">
        <v>117</v>
      </c>
      <c r="B22" t="s">
        <v>66</v>
      </c>
      <c r="C22" t="s">
        <v>109</v>
      </c>
      <c r="D22" t="s">
        <v>81</v>
      </c>
      <c r="E22" t="s">
        <v>82</v>
      </c>
      <c r="F22" t="s">
        <v>83</v>
      </c>
      <c r="G22" t="s">
        <v>84</v>
      </c>
      <c r="H22" t="s">
        <v>1</v>
      </c>
      <c r="I22" t="s">
        <v>118</v>
      </c>
      <c r="J22">
        <v>154</v>
      </c>
      <c r="K22" t="s">
        <v>86</v>
      </c>
    </row>
    <row r="23" spans="1:11" x14ac:dyDescent="0.55000000000000004">
      <c r="A23" t="s">
        <v>119</v>
      </c>
      <c r="B23" t="s">
        <v>66</v>
      </c>
      <c r="C23" t="s">
        <v>109</v>
      </c>
      <c r="D23" t="s">
        <v>81</v>
      </c>
      <c r="E23" t="s">
        <v>82</v>
      </c>
      <c r="F23" t="s">
        <v>83</v>
      </c>
      <c r="G23" t="s">
        <v>84</v>
      </c>
      <c r="H23" t="s">
        <v>1</v>
      </c>
      <c r="I23" t="s">
        <v>120</v>
      </c>
      <c r="J23">
        <v>155</v>
      </c>
      <c r="K23" t="s">
        <v>86</v>
      </c>
    </row>
    <row r="24" spans="1:11" x14ac:dyDescent="0.55000000000000004">
      <c r="A24" t="s">
        <v>121</v>
      </c>
      <c r="B24" t="s">
        <v>66</v>
      </c>
      <c r="C24" t="s">
        <v>109</v>
      </c>
      <c r="D24" t="s">
        <v>81</v>
      </c>
      <c r="E24" t="s">
        <v>82</v>
      </c>
      <c r="F24" t="s">
        <v>83</v>
      </c>
      <c r="G24" t="s">
        <v>84</v>
      </c>
      <c r="H24" t="s">
        <v>1</v>
      </c>
      <c r="I24" t="s">
        <v>122</v>
      </c>
      <c r="J24">
        <v>156</v>
      </c>
      <c r="K24" t="s">
        <v>86</v>
      </c>
    </row>
    <row r="25" spans="1:11" x14ac:dyDescent="0.55000000000000004">
      <c r="A25" t="s">
        <v>123</v>
      </c>
      <c r="B25" t="s">
        <v>123</v>
      </c>
      <c r="C25" t="s">
        <v>123</v>
      </c>
      <c r="E25" t="s">
        <v>82</v>
      </c>
      <c r="F25" t="s">
        <v>83</v>
      </c>
      <c r="G25" t="s">
        <v>84</v>
      </c>
      <c r="H25" t="s">
        <v>1</v>
      </c>
      <c r="I25" t="s">
        <v>124</v>
      </c>
      <c r="J25">
        <v>291</v>
      </c>
      <c r="K25" t="s">
        <v>86</v>
      </c>
    </row>
    <row r="26" spans="1:11" x14ac:dyDescent="0.55000000000000004">
      <c r="A26" t="s">
        <v>125</v>
      </c>
      <c r="B26" t="s">
        <v>123</v>
      </c>
      <c r="C26" t="s">
        <v>123</v>
      </c>
      <c r="E26" t="s">
        <v>82</v>
      </c>
      <c r="F26" t="s">
        <v>83</v>
      </c>
      <c r="G26" t="s">
        <v>84</v>
      </c>
      <c r="H26" t="s">
        <v>1</v>
      </c>
      <c r="I26" t="s">
        <v>126</v>
      </c>
      <c r="J26">
        <v>292</v>
      </c>
      <c r="K26" t="s">
        <v>86</v>
      </c>
    </row>
    <row r="27" spans="1:11" x14ac:dyDescent="0.55000000000000004">
      <c r="A27" t="s">
        <v>127</v>
      </c>
      <c r="B27" t="s">
        <v>123</v>
      </c>
      <c r="C27" t="s">
        <v>123</v>
      </c>
      <c r="E27" t="s">
        <v>82</v>
      </c>
      <c r="F27" t="s">
        <v>83</v>
      </c>
      <c r="G27" t="s">
        <v>84</v>
      </c>
      <c r="H27" t="s">
        <v>1</v>
      </c>
      <c r="I27" t="s">
        <v>128</v>
      </c>
      <c r="J27">
        <v>850</v>
      </c>
      <c r="K27" t="s">
        <v>129</v>
      </c>
    </row>
    <row r="28" spans="1:11" x14ac:dyDescent="0.55000000000000004">
      <c r="A28" t="s">
        <v>130</v>
      </c>
      <c r="B28" t="s">
        <v>123</v>
      </c>
      <c r="C28" t="s">
        <v>123</v>
      </c>
      <c r="E28" t="s">
        <v>82</v>
      </c>
      <c r="F28" t="s">
        <v>83</v>
      </c>
      <c r="G28" t="s">
        <v>84</v>
      </c>
      <c r="H28" t="s">
        <v>1</v>
      </c>
      <c r="I28" t="s">
        <v>131</v>
      </c>
      <c r="J28">
        <v>852</v>
      </c>
      <c r="K28" t="s">
        <v>129</v>
      </c>
    </row>
    <row r="29" spans="1:11" x14ac:dyDescent="0.55000000000000004">
      <c r="A29" t="s">
        <v>132</v>
      </c>
      <c r="B29" t="s">
        <v>123</v>
      </c>
      <c r="C29" t="s">
        <v>123</v>
      </c>
      <c r="E29" t="s">
        <v>82</v>
      </c>
      <c r="F29" t="s">
        <v>83</v>
      </c>
      <c r="G29" t="s">
        <v>84</v>
      </c>
      <c r="H29" t="s">
        <v>1</v>
      </c>
      <c r="I29" t="s">
        <v>133</v>
      </c>
      <c r="J29">
        <v>853</v>
      </c>
      <c r="K29" t="s">
        <v>129</v>
      </c>
    </row>
    <row r="30" spans="1:11" x14ac:dyDescent="0.55000000000000004">
      <c r="A30" t="s">
        <v>134</v>
      </c>
      <c r="B30" t="s">
        <v>134</v>
      </c>
      <c r="C30" t="s">
        <v>135</v>
      </c>
      <c r="D30" t="s">
        <v>81</v>
      </c>
      <c r="E30" t="s">
        <v>82</v>
      </c>
      <c r="F30" t="s">
        <v>83</v>
      </c>
      <c r="G30" t="s">
        <v>84</v>
      </c>
      <c r="H30" t="s">
        <v>1</v>
      </c>
      <c r="I30" t="s">
        <v>136</v>
      </c>
      <c r="J30">
        <v>160</v>
      </c>
      <c r="K30" t="s">
        <v>86</v>
      </c>
    </row>
    <row r="31" spans="1:11" x14ac:dyDescent="0.55000000000000004">
      <c r="A31" t="s">
        <v>137</v>
      </c>
      <c r="B31" t="s">
        <v>134</v>
      </c>
      <c r="C31" t="s">
        <v>135</v>
      </c>
      <c r="D31" t="s">
        <v>81</v>
      </c>
      <c r="E31" t="s">
        <v>82</v>
      </c>
      <c r="F31" t="s">
        <v>83</v>
      </c>
      <c r="G31" t="s">
        <v>84</v>
      </c>
      <c r="H31" t="s">
        <v>1</v>
      </c>
      <c r="I31" t="s">
        <v>136</v>
      </c>
      <c r="J31">
        <v>161</v>
      </c>
      <c r="K31" t="s">
        <v>86</v>
      </c>
    </row>
    <row r="32" spans="1:11" x14ac:dyDescent="0.55000000000000004">
      <c r="A32" t="s">
        <v>138</v>
      </c>
      <c r="B32" t="s">
        <v>134</v>
      </c>
      <c r="C32" t="s">
        <v>135</v>
      </c>
      <c r="D32" t="s">
        <v>81</v>
      </c>
      <c r="E32" t="s">
        <v>82</v>
      </c>
      <c r="F32" t="s">
        <v>83</v>
      </c>
      <c r="G32" t="s">
        <v>84</v>
      </c>
      <c r="H32" t="s">
        <v>1</v>
      </c>
      <c r="I32" t="s">
        <v>139</v>
      </c>
      <c r="J32">
        <v>166</v>
      </c>
      <c r="K32" t="s">
        <v>86</v>
      </c>
    </row>
    <row r="33" spans="1:11" x14ac:dyDescent="0.55000000000000004">
      <c r="A33" t="s">
        <v>64</v>
      </c>
      <c r="B33" t="s">
        <v>134</v>
      </c>
      <c r="C33" t="s">
        <v>135</v>
      </c>
      <c r="D33" t="s">
        <v>81</v>
      </c>
      <c r="E33" t="s">
        <v>82</v>
      </c>
      <c r="F33" t="s">
        <v>83</v>
      </c>
      <c r="G33" t="s">
        <v>84</v>
      </c>
      <c r="H33" t="s">
        <v>1</v>
      </c>
      <c r="I33" t="s">
        <v>140</v>
      </c>
      <c r="J33">
        <v>167</v>
      </c>
      <c r="K33" t="s">
        <v>86</v>
      </c>
    </row>
    <row r="34" spans="1:11" x14ac:dyDescent="0.55000000000000004">
      <c r="A34" t="s">
        <v>141</v>
      </c>
      <c r="B34" t="s">
        <v>134</v>
      </c>
      <c r="C34" t="s">
        <v>135</v>
      </c>
      <c r="D34" t="s">
        <v>81</v>
      </c>
      <c r="E34" t="s">
        <v>82</v>
      </c>
      <c r="F34" t="s">
        <v>83</v>
      </c>
      <c r="G34" t="s">
        <v>84</v>
      </c>
      <c r="H34" t="s">
        <v>1</v>
      </c>
      <c r="I34" t="s">
        <v>142</v>
      </c>
      <c r="J34">
        <v>211</v>
      </c>
      <c r="K34" t="s">
        <v>86</v>
      </c>
    </row>
    <row r="35" spans="1:11" x14ac:dyDescent="0.55000000000000004">
      <c r="A35" t="s">
        <v>143</v>
      </c>
      <c r="B35" t="s">
        <v>143</v>
      </c>
      <c r="C35" t="s">
        <v>135</v>
      </c>
      <c r="D35" t="s">
        <v>81</v>
      </c>
      <c r="E35" t="s">
        <v>82</v>
      </c>
      <c r="F35" t="s">
        <v>83</v>
      </c>
      <c r="G35" t="s">
        <v>84</v>
      </c>
      <c r="H35" t="s">
        <v>1</v>
      </c>
      <c r="I35" t="s">
        <v>144</v>
      </c>
      <c r="J35">
        <v>163</v>
      </c>
      <c r="K35" t="s">
        <v>86</v>
      </c>
    </row>
    <row r="36" spans="1:11" x14ac:dyDescent="0.55000000000000004">
      <c r="A36" t="s">
        <v>145</v>
      </c>
      <c r="B36" t="s">
        <v>145</v>
      </c>
      <c r="C36" t="s">
        <v>135</v>
      </c>
      <c r="D36" t="s">
        <v>81</v>
      </c>
      <c r="E36" t="s">
        <v>82</v>
      </c>
      <c r="F36" t="s">
        <v>83</v>
      </c>
      <c r="G36" t="s">
        <v>84</v>
      </c>
      <c r="H36" t="s">
        <v>1</v>
      </c>
      <c r="I36" t="s">
        <v>146</v>
      </c>
      <c r="J36">
        <v>162</v>
      </c>
      <c r="K36" t="s">
        <v>86</v>
      </c>
    </row>
    <row r="37" spans="1:11" x14ac:dyDescent="0.55000000000000004">
      <c r="A37" t="s">
        <v>147</v>
      </c>
      <c r="B37" t="s">
        <v>148</v>
      </c>
      <c r="C37" t="s">
        <v>135</v>
      </c>
      <c r="D37" t="s">
        <v>81</v>
      </c>
      <c r="E37" t="s">
        <v>82</v>
      </c>
      <c r="F37" t="s">
        <v>83</v>
      </c>
      <c r="G37" t="s">
        <v>84</v>
      </c>
      <c r="H37" t="s">
        <v>1</v>
      </c>
      <c r="I37" t="s">
        <v>149</v>
      </c>
      <c r="J37">
        <v>165</v>
      </c>
      <c r="K37" t="s">
        <v>86</v>
      </c>
    </row>
    <row r="38" spans="1:11" x14ac:dyDescent="0.55000000000000004">
      <c r="A38" t="s">
        <v>150</v>
      </c>
      <c r="B38" t="s">
        <v>150</v>
      </c>
      <c r="C38" t="s">
        <v>135</v>
      </c>
      <c r="D38" t="s">
        <v>81</v>
      </c>
      <c r="E38" t="s">
        <v>82</v>
      </c>
      <c r="F38" t="s">
        <v>83</v>
      </c>
      <c r="G38" t="s">
        <v>84</v>
      </c>
      <c r="H38" t="s">
        <v>105</v>
      </c>
      <c r="I38" t="s">
        <v>140</v>
      </c>
      <c r="J38">
        <v>181</v>
      </c>
      <c r="K38" t="s">
        <v>86</v>
      </c>
    </row>
    <row r="39" spans="1:11" x14ac:dyDescent="0.55000000000000004">
      <c r="A39" t="s">
        <v>151</v>
      </c>
      <c r="B39" t="s">
        <v>151</v>
      </c>
      <c r="C39" t="s">
        <v>152</v>
      </c>
      <c r="E39" t="s">
        <v>82</v>
      </c>
      <c r="F39" t="s">
        <v>83</v>
      </c>
      <c r="G39" t="s">
        <v>84</v>
      </c>
      <c r="H39" t="s">
        <v>1</v>
      </c>
      <c r="I39" t="s">
        <v>153</v>
      </c>
      <c r="J39">
        <v>0</v>
      </c>
      <c r="K39" t="s">
        <v>86</v>
      </c>
    </row>
    <row r="40" spans="1:11" x14ac:dyDescent="0.55000000000000004">
      <c r="A40" t="s">
        <v>154</v>
      </c>
      <c r="B40" t="s">
        <v>151</v>
      </c>
      <c r="C40" t="s">
        <v>152</v>
      </c>
      <c r="E40" t="s">
        <v>82</v>
      </c>
      <c r="F40" t="s">
        <v>83</v>
      </c>
      <c r="G40" t="s">
        <v>84</v>
      </c>
      <c r="H40" t="s">
        <v>1</v>
      </c>
      <c r="K40" t="s">
        <v>86</v>
      </c>
    </row>
    <row r="41" spans="1:11" x14ac:dyDescent="0.55000000000000004">
      <c r="A41" t="s">
        <v>152</v>
      </c>
      <c r="B41" t="s">
        <v>151</v>
      </c>
      <c r="C41" t="s">
        <v>152</v>
      </c>
      <c r="E41" t="s">
        <v>82</v>
      </c>
      <c r="F41" t="s">
        <v>83</v>
      </c>
      <c r="G41" t="s">
        <v>84</v>
      </c>
      <c r="H41" t="s">
        <v>1</v>
      </c>
      <c r="K41" t="s">
        <v>86</v>
      </c>
    </row>
    <row r="42" spans="1:11" x14ac:dyDescent="0.55000000000000004">
      <c r="A42" t="s">
        <v>155</v>
      </c>
      <c r="B42" t="s">
        <v>155</v>
      </c>
      <c r="C42" t="s">
        <v>156</v>
      </c>
      <c r="E42" t="s">
        <v>82</v>
      </c>
      <c r="F42" t="s">
        <v>83</v>
      </c>
      <c r="G42" t="s">
        <v>84</v>
      </c>
      <c r="H42" t="s">
        <v>157</v>
      </c>
      <c r="I42" t="s">
        <v>158</v>
      </c>
      <c r="J42">
        <v>1</v>
      </c>
      <c r="K42" t="s">
        <v>86</v>
      </c>
    </row>
    <row r="43" spans="1:11" x14ac:dyDescent="0.55000000000000004">
      <c r="A43" t="s">
        <v>159</v>
      </c>
      <c r="B43" t="s">
        <v>159</v>
      </c>
      <c r="C43" t="s">
        <v>160</v>
      </c>
      <c r="D43" t="s">
        <v>161</v>
      </c>
      <c r="E43" t="s">
        <v>82</v>
      </c>
      <c r="F43" t="s">
        <v>83</v>
      </c>
      <c r="G43" t="s">
        <v>84</v>
      </c>
      <c r="H43" t="s">
        <v>105</v>
      </c>
      <c r="I43" t="s">
        <v>162</v>
      </c>
      <c r="J43">
        <v>200</v>
      </c>
      <c r="K43" t="s">
        <v>86</v>
      </c>
    </row>
    <row r="44" spans="1:11" x14ac:dyDescent="0.55000000000000004">
      <c r="A44" t="s">
        <v>163</v>
      </c>
      <c r="B44" t="s">
        <v>163</v>
      </c>
      <c r="C44" t="s">
        <v>160</v>
      </c>
      <c r="D44" t="s">
        <v>161</v>
      </c>
      <c r="E44" t="s">
        <v>82</v>
      </c>
      <c r="F44" t="s">
        <v>83</v>
      </c>
      <c r="G44" t="s">
        <v>84</v>
      </c>
      <c r="H44" t="s">
        <v>105</v>
      </c>
      <c r="I44" t="s">
        <v>164</v>
      </c>
      <c r="J44">
        <v>201</v>
      </c>
      <c r="K44" t="s">
        <v>86</v>
      </c>
    </row>
    <row r="45" spans="1:11" x14ac:dyDescent="0.55000000000000004">
      <c r="A45" t="s">
        <v>165</v>
      </c>
      <c r="B45" t="s">
        <v>163</v>
      </c>
      <c r="C45" t="s">
        <v>160</v>
      </c>
      <c r="D45" t="s">
        <v>161</v>
      </c>
      <c r="E45" t="s">
        <v>82</v>
      </c>
      <c r="F45" t="s">
        <v>83</v>
      </c>
      <c r="G45" t="s">
        <v>84</v>
      </c>
      <c r="H45" t="s">
        <v>105</v>
      </c>
      <c r="I45" t="s">
        <v>166</v>
      </c>
      <c r="J45">
        <v>202</v>
      </c>
      <c r="K45" t="s">
        <v>86</v>
      </c>
    </row>
    <row r="46" spans="1:11" x14ac:dyDescent="0.55000000000000004">
      <c r="A46" t="s">
        <v>167</v>
      </c>
      <c r="B46" t="s">
        <v>167</v>
      </c>
      <c r="C46" t="s">
        <v>160</v>
      </c>
      <c r="D46" t="s">
        <v>161</v>
      </c>
      <c r="E46" t="s">
        <v>82</v>
      </c>
      <c r="F46" t="s">
        <v>83</v>
      </c>
      <c r="G46" t="s">
        <v>84</v>
      </c>
      <c r="H46" t="s">
        <v>105</v>
      </c>
      <c r="I46" t="s">
        <v>168</v>
      </c>
      <c r="J46">
        <v>203</v>
      </c>
      <c r="K46" t="s">
        <v>86</v>
      </c>
    </row>
    <row r="47" spans="1:11" x14ac:dyDescent="0.55000000000000004">
      <c r="A47" t="s">
        <v>169</v>
      </c>
      <c r="B47" t="s">
        <v>169</v>
      </c>
      <c r="C47" t="s">
        <v>160</v>
      </c>
      <c r="D47" t="s">
        <v>161</v>
      </c>
      <c r="E47" t="s">
        <v>82</v>
      </c>
      <c r="F47" t="s">
        <v>83</v>
      </c>
      <c r="G47" t="s">
        <v>84</v>
      </c>
      <c r="H47" t="s">
        <v>105</v>
      </c>
      <c r="I47" t="s">
        <v>170</v>
      </c>
      <c r="J47">
        <v>204</v>
      </c>
      <c r="K47" t="s">
        <v>86</v>
      </c>
    </row>
    <row r="48" spans="1:11" x14ac:dyDescent="0.55000000000000004">
      <c r="A48" t="s">
        <v>171</v>
      </c>
      <c r="B48" t="s">
        <v>171</v>
      </c>
      <c r="C48" t="s">
        <v>160</v>
      </c>
      <c r="D48" t="s">
        <v>161</v>
      </c>
      <c r="E48" t="s">
        <v>82</v>
      </c>
      <c r="F48" t="s">
        <v>83</v>
      </c>
      <c r="G48" t="s">
        <v>84</v>
      </c>
      <c r="H48" t="s">
        <v>105</v>
      </c>
      <c r="I48" t="s">
        <v>172</v>
      </c>
      <c r="J48">
        <v>206</v>
      </c>
      <c r="K48" t="s">
        <v>86</v>
      </c>
    </row>
    <row r="49" spans="1:11" x14ac:dyDescent="0.55000000000000004">
      <c r="A49" t="s">
        <v>173</v>
      </c>
      <c r="B49" t="s">
        <v>173</v>
      </c>
      <c r="C49" t="s">
        <v>160</v>
      </c>
      <c r="D49" t="s">
        <v>161</v>
      </c>
      <c r="E49" t="s">
        <v>82</v>
      </c>
      <c r="F49" t="s">
        <v>83</v>
      </c>
      <c r="G49" t="s">
        <v>84</v>
      </c>
      <c r="H49" t="s">
        <v>1</v>
      </c>
      <c r="I49" t="s">
        <v>174</v>
      </c>
      <c r="J49">
        <v>210</v>
      </c>
      <c r="K49" t="s">
        <v>86</v>
      </c>
    </row>
    <row r="50" spans="1:11" x14ac:dyDescent="0.55000000000000004">
      <c r="A50" t="s">
        <v>175</v>
      </c>
      <c r="B50" t="s">
        <v>175</v>
      </c>
      <c r="C50" t="s">
        <v>160</v>
      </c>
      <c r="D50" t="s">
        <v>161</v>
      </c>
      <c r="E50" t="s">
        <v>82</v>
      </c>
      <c r="F50" t="s">
        <v>83</v>
      </c>
      <c r="G50" t="s">
        <v>84</v>
      </c>
      <c r="H50" t="s">
        <v>105</v>
      </c>
      <c r="I50" t="s">
        <v>176</v>
      </c>
      <c r="J50">
        <v>212</v>
      </c>
      <c r="K50" t="s">
        <v>86</v>
      </c>
    </row>
    <row r="51" spans="1:11" x14ac:dyDescent="0.55000000000000004">
      <c r="A51" t="s">
        <v>177</v>
      </c>
      <c r="B51" t="s">
        <v>178</v>
      </c>
      <c r="C51" t="s">
        <v>179</v>
      </c>
      <c r="D51" t="s">
        <v>161</v>
      </c>
      <c r="E51" t="s">
        <v>82</v>
      </c>
      <c r="F51" t="s">
        <v>83</v>
      </c>
      <c r="G51" t="s">
        <v>84</v>
      </c>
      <c r="H51" t="s">
        <v>105</v>
      </c>
      <c r="I51" t="s">
        <v>180</v>
      </c>
      <c r="J51">
        <v>250</v>
      </c>
      <c r="K51" t="s">
        <v>86</v>
      </c>
    </row>
    <row r="52" spans="1:11" x14ac:dyDescent="0.55000000000000004">
      <c r="A52" t="s">
        <v>181</v>
      </c>
      <c r="B52" t="s">
        <v>178</v>
      </c>
      <c r="C52" t="s">
        <v>179</v>
      </c>
      <c r="D52" t="s">
        <v>161</v>
      </c>
      <c r="E52" t="s">
        <v>82</v>
      </c>
      <c r="F52" t="s">
        <v>83</v>
      </c>
      <c r="G52" t="s">
        <v>84</v>
      </c>
      <c r="H52" t="s">
        <v>105</v>
      </c>
      <c r="I52" t="s">
        <v>182</v>
      </c>
      <c r="J52">
        <v>251</v>
      </c>
      <c r="K52" t="s">
        <v>86</v>
      </c>
    </row>
    <row r="53" spans="1:11" x14ac:dyDescent="0.55000000000000004">
      <c r="A53" t="s">
        <v>183</v>
      </c>
      <c r="B53" t="s">
        <v>178</v>
      </c>
      <c r="C53" t="s">
        <v>179</v>
      </c>
      <c r="D53" t="s">
        <v>161</v>
      </c>
      <c r="E53" t="s">
        <v>82</v>
      </c>
      <c r="F53" t="s">
        <v>83</v>
      </c>
      <c r="G53" t="s">
        <v>84</v>
      </c>
      <c r="H53" t="s">
        <v>105</v>
      </c>
      <c r="I53" t="s">
        <v>184</v>
      </c>
      <c r="J53">
        <v>252</v>
      </c>
      <c r="K53" t="s">
        <v>86</v>
      </c>
    </row>
    <row r="54" spans="1:11" x14ac:dyDescent="0.55000000000000004">
      <c r="A54" t="s">
        <v>185</v>
      </c>
      <c r="B54" t="s">
        <v>178</v>
      </c>
      <c r="C54" t="s">
        <v>179</v>
      </c>
      <c r="D54" t="s">
        <v>161</v>
      </c>
      <c r="E54" t="s">
        <v>82</v>
      </c>
      <c r="F54" t="s">
        <v>83</v>
      </c>
      <c r="G54" t="s">
        <v>84</v>
      </c>
      <c r="H54" t="s">
        <v>1</v>
      </c>
      <c r="I54" t="s">
        <v>186</v>
      </c>
      <c r="J54">
        <v>253</v>
      </c>
      <c r="K54" t="s">
        <v>86</v>
      </c>
    </row>
    <row r="55" spans="1:11" x14ac:dyDescent="0.55000000000000004">
      <c r="A55" t="s">
        <v>187</v>
      </c>
      <c r="B55" t="s">
        <v>187</v>
      </c>
      <c r="C55" t="s">
        <v>179</v>
      </c>
      <c r="D55" t="s">
        <v>161</v>
      </c>
      <c r="E55" t="s">
        <v>82</v>
      </c>
      <c r="F55" t="s">
        <v>83</v>
      </c>
      <c r="G55" t="s">
        <v>84</v>
      </c>
      <c r="H55" t="s">
        <v>105</v>
      </c>
      <c r="I55" t="s">
        <v>188</v>
      </c>
      <c r="J55">
        <v>255</v>
      </c>
      <c r="K55" t="s">
        <v>86</v>
      </c>
    </row>
    <row r="56" spans="1:11" x14ac:dyDescent="0.55000000000000004">
      <c r="A56" t="s">
        <v>189</v>
      </c>
      <c r="B56" t="s">
        <v>190</v>
      </c>
      <c r="C56" t="s">
        <v>191</v>
      </c>
      <c r="D56" t="s">
        <v>161</v>
      </c>
      <c r="E56" t="s">
        <v>82</v>
      </c>
      <c r="F56" t="s">
        <v>83</v>
      </c>
      <c r="G56" t="s">
        <v>84</v>
      </c>
      <c r="H56" t="s">
        <v>1</v>
      </c>
      <c r="I56" t="s">
        <v>192</v>
      </c>
      <c r="J56">
        <v>260</v>
      </c>
      <c r="K56" t="s">
        <v>86</v>
      </c>
    </row>
    <row r="57" spans="1:11" x14ac:dyDescent="0.55000000000000004">
      <c r="A57" t="s">
        <v>193</v>
      </c>
      <c r="B57" t="s">
        <v>190</v>
      </c>
      <c r="C57" t="s">
        <v>191</v>
      </c>
      <c r="D57" t="s">
        <v>161</v>
      </c>
      <c r="E57" t="s">
        <v>82</v>
      </c>
      <c r="F57" t="s">
        <v>83</v>
      </c>
      <c r="G57" t="s">
        <v>84</v>
      </c>
      <c r="H57" t="s">
        <v>1</v>
      </c>
      <c r="I57" t="s">
        <v>194</v>
      </c>
      <c r="J57">
        <v>261</v>
      </c>
      <c r="K57" t="s">
        <v>86</v>
      </c>
    </row>
    <row r="58" spans="1:11" x14ac:dyDescent="0.55000000000000004">
      <c r="A58" t="s">
        <v>195</v>
      </c>
      <c r="B58" t="s">
        <v>190</v>
      </c>
      <c r="C58" t="s">
        <v>191</v>
      </c>
      <c r="D58" t="s">
        <v>161</v>
      </c>
      <c r="E58" t="s">
        <v>82</v>
      </c>
      <c r="F58" t="s">
        <v>83</v>
      </c>
      <c r="G58" t="s">
        <v>84</v>
      </c>
      <c r="H58" t="s">
        <v>1</v>
      </c>
      <c r="I58" t="s">
        <v>196</v>
      </c>
      <c r="J58">
        <v>262</v>
      </c>
      <c r="K58" t="s">
        <v>86</v>
      </c>
    </row>
    <row r="59" spans="1:11" x14ac:dyDescent="0.55000000000000004">
      <c r="A59" t="s">
        <v>197</v>
      </c>
      <c r="B59" t="s">
        <v>190</v>
      </c>
      <c r="C59" t="s">
        <v>191</v>
      </c>
      <c r="D59" t="s">
        <v>161</v>
      </c>
      <c r="E59" t="s">
        <v>82</v>
      </c>
      <c r="F59" t="s">
        <v>83</v>
      </c>
      <c r="G59" t="s">
        <v>84</v>
      </c>
      <c r="H59" t="s">
        <v>1</v>
      </c>
      <c r="I59" t="s">
        <v>198</v>
      </c>
      <c r="J59">
        <v>263</v>
      </c>
      <c r="K59" t="s">
        <v>86</v>
      </c>
    </row>
    <row r="60" spans="1:11" x14ac:dyDescent="0.55000000000000004">
      <c r="A60" t="s">
        <v>199</v>
      </c>
      <c r="B60" t="s">
        <v>190</v>
      </c>
      <c r="C60" t="s">
        <v>191</v>
      </c>
      <c r="D60" t="s">
        <v>161</v>
      </c>
      <c r="E60" t="s">
        <v>82</v>
      </c>
      <c r="F60" t="s">
        <v>83</v>
      </c>
      <c r="G60" t="s">
        <v>84</v>
      </c>
      <c r="H60" t="s">
        <v>1</v>
      </c>
      <c r="I60" t="s">
        <v>200</v>
      </c>
      <c r="J60">
        <v>264</v>
      </c>
      <c r="K60" t="s">
        <v>86</v>
      </c>
    </row>
    <row r="61" spans="1:11" x14ac:dyDescent="0.55000000000000004">
      <c r="A61" t="s">
        <v>201</v>
      </c>
      <c r="B61" t="s">
        <v>190</v>
      </c>
      <c r="C61" t="s">
        <v>191</v>
      </c>
      <c r="D61" t="s">
        <v>161</v>
      </c>
      <c r="E61" t="s">
        <v>82</v>
      </c>
      <c r="F61" t="s">
        <v>83</v>
      </c>
      <c r="G61" t="s">
        <v>84</v>
      </c>
      <c r="H61" t="s">
        <v>1</v>
      </c>
      <c r="I61" t="s">
        <v>202</v>
      </c>
      <c r="J61">
        <v>265</v>
      </c>
      <c r="K61" t="s">
        <v>86</v>
      </c>
    </row>
    <row r="62" spans="1:11" x14ac:dyDescent="0.55000000000000004">
      <c r="A62" t="s">
        <v>203</v>
      </c>
      <c r="B62" t="s">
        <v>190</v>
      </c>
      <c r="C62" t="s">
        <v>191</v>
      </c>
      <c r="D62" t="s">
        <v>161</v>
      </c>
      <c r="E62" t="s">
        <v>82</v>
      </c>
      <c r="F62" t="s">
        <v>83</v>
      </c>
      <c r="G62" t="s">
        <v>84</v>
      </c>
      <c r="H62" t="s">
        <v>1</v>
      </c>
      <c r="I62" t="s">
        <v>204</v>
      </c>
      <c r="J62">
        <v>267</v>
      </c>
      <c r="K62" t="s">
        <v>86</v>
      </c>
    </row>
    <row r="63" spans="1:11" x14ac:dyDescent="0.55000000000000004">
      <c r="A63" t="s">
        <v>205</v>
      </c>
      <c r="B63" t="s">
        <v>190</v>
      </c>
      <c r="C63" t="s">
        <v>191</v>
      </c>
      <c r="D63" t="s">
        <v>161</v>
      </c>
      <c r="E63" t="s">
        <v>82</v>
      </c>
      <c r="F63" t="s">
        <v>83</v>
      </c>
      <c r="G63" t="s">
        <v>84</v>
      </c>
      <c r="H63" t="s">
        <v>1</v>
      </c>
      <c r="I63" t="s">
        <v>206</v>
      </c>
      <c r="J63">
        <v>268</v>
      </c>
      <c r="K63" t="s">
        <v>86</v>
      </c>
    </row>
    <row r="64" spans="1:11" x14ac:dyDescent="0.55000000000000004">
      <c r="A64" t="s">
        <v>207</v>
      </c>
      <c r="B64" t="s">
        <v>190</v>
      </c>
      <c r="C64" t="s">
        <v>191</v>
      </c>
      <c r="D64" t="s">
        <v>161</v>
      </c>
      <c r="E64" t="s">
        <v>82</v>
      </c>
      <c r="F64" t="s">
        <v>83</v>
      </c>
      <c r="G64" t="s">
        <v>84</v>
      </c>
      <c r="H64" t="s">
        <v>1</v>
      </c>
      <c r="I64" t="s">
        <v>208</v>
      </c>
      <c r="J64">
        <v>269</v>
      </c>
      <c r="K64" t="s">
        <v>86</v>
      </c>
    </row>
    <row r="65" spans="1:11" x14ac:dyDescent="0.55000000000000004">
      <c r="A65" t="s">
        <v>209</v>
      </c>
      <c r="B65" t="s">
        <v>209</v>
      </c>
      <c r="C65" t="s">
        <v>210</v>
      </c>
      <c r="D65" t="s">
        <v>211</v>
      </c>
      <c r="E65" t="s">
        <v>212</v>
      </c>
      <c r="F65" t="s">
        <v>83</v>
      </c>
      <c r="G65" t="s">
        <v>84</v>
      </c>
      <c r="H65" t="s">
        <v>1</v>
      </c>
      <c r="I65" t="s">
        <v>213</v>
      </c>
      <c r="J65">
        <v>300</v>
      </c>
      <c r="K65" t="s">
        <v>86</v>
      </c>
    </row>
    <row r="66" spans="1:11" x14ac:dyDescent="0.55000000000000004">
      <c r="A66" t="s">
        <v>214</v>
      </c>
      <c r="B66" t="s">
        <v>209</v>
      </c>
      <c r="C66" t="s">
        <v>210</v>
      </c>
      <c r="D66" t="s">
        <v>211</v>
      </c>
      <c r="E66" t="s">
        <v>212</v>
      </c>
      <c r="F66" t="s">
        <v>83</v>
      </c>
      <c r="G66" t="s">
        <v>84</v>
      </c>
      <c r="H66" t="s">
        <v>1</v>
      </c>
      <c r="I66" t="s">
        <v>215</v>
      </c>
      <c r="J66">
        <v>321</v>
      </c>
      <c r="K66" t="s">
        <v>86</v>
      </c>
    </row>
    <row r="67" spans="1:11" x14ac:dyDescent="0.55000000000000004">
      <c r="A67" t="s">
        <v>216</v>
      </c>
      <c r="B67" t="s">
        <v>209</v>
      </c>
      <c r="C67" t="s">
        <v>210</v>
      </c>
      <c r="D67" t="s">
        <v>211</v>
      </c>
      <c r="E67" t="s">
        <v>212</v>
      </c>
      <c r="F67" t="s">
        <v>83</v>
      </c>
      <c r="G67" t="s">
        <v>84</v>
      </c>
      <c r="H67" t="s">
        <v>1</v>
      </c>
      <c r="I67" t="s">
        <v>217</v>
      </c>
      <c r="J67">
        <v>331</v>
      </c>
      <c r="K67" t="s">
        <v>86</v>
      </c>
    </row>
    <row r="68" spans="1:11" x14ac:dyDescent="0.55000000000000004">
      <c r="A68" t="s">
        <v>218</v>
      </c>
      <c r="B68" t="s">
        <v>209</v>
      </c>
      <c r="C68" t="s">
        <v>210</v>
      </c>
      <c r="D68" t="s">
        <v>211</v>
      </c>
      <c r="E68" t="s">
        <v>212</v>
      </c>
      <c r="F68" t="s">
        <v>83</v>
      </c>
      <c r="G68" t="s">
        <v>84</v>
      </c>
      <c r="H68" t="s">
        <v>1</v>
      </c>
      <c r="I68" t="s">
        <v>219</v>
      </c>
      <c r="J68">
        <v>332</v>
      </c>
      <c r="K68" t="s">
        <v>86</v>
      </c>
    </row>
    <row r="69" spans="1:11" x14ac:dyDescent="0.55000000000000004">
      <c r="A69" t="s">
        <v>6</v>
      </c>
      <c r="B69" t="s">
        <v>6</v>
      </c>
      <c r="C69" t="s">
        <v>210</v>
      </c>
      <c r="D69" t="s">
        <v>211</v>
      </c>
      <c r="E69" t="s">
        <v>212</v>
      </c>
      <c r="F69" t="s">
        <v>83</v>
      </c>
      <c r="G69" t="s">
        <v>84</v>
      </c>
      <c r="H69" t="s">
        <v>1</v>
      </c>
      <c r="I69" t="s">
        <v>220</v>
      </c>
      <c r="J69">
        <v>301</v>
      </c>
      <c r="K69" t="s">
        <v>86</v>
      </c>
    </row>
    <row r="70" spans="1:11" x14ac:dyDescent="0.55000000000000004">
      <c r="A70" t="s">
        <v>221</v>
      </c>
      <c r="B70" t="s">
        <v>221</v>
      </c>
      <c r="C70" t="s">
        <v>222</v>
      </c>
      <c r="D70" t="s">
        <v>211</v>
      </c>
      <c r="E70" t="s">
        <v>212</v>
      </c>
      <c r="F70" t="s">
        <v>83</v>
      </c>
      <c r="G70" t="s">
        <v>84</v>
      </c>
      <c r="H70" t="s">
        <v>1</v>
      </c>
      <c r="I70" t="s">
        <v>223</v>
      </c>
      <c r="J70">
        <v>320</v>
      </c>
      <c r="K70" t="s">
        <v>86</v>
      </c>
    </row>
    <row r="71" spans="1:11" x14ac:dyDescent="0.55000000000000004">
      <c r="A71" t="s">
        <v>84</v>
      </c>
      <c r="B71" t="s">
        <v>84</v>
      </c>
      <c r="C71" t="s">
        <v>222</v>
      </c>
      <c r="D71" t="s">
        <v>211</v>
      </c>
      <c r="E71" t="s">
        <v>212</v>
      </c>
      <c r="F71" t="s">
        <v>83</v>
      </c>
      <c r="G71" t="s">
        <v>84</v>
      </c>
      <c r="H71" t="s">
        <v>1</v>
      </c>
      <c r="I71" t="s">
        <v>224</v>
      </c>
      <c r="J71">
        <v>322</v>
      </c>
      <c r="K71" t="s">
        <v>86</v>
      </c>
    </row>
    <row r="72" spans="1:11" x14ac:dyDescent="0.55000000000000004">
      <c r="A72" t="s">
        <v>92</v>
      </c>
      <c r="B72" t="s">
        <v>84</v>
      </c>
      <c r="C72" t="s">
        <v>222</v>
      </c>
      <c r="D72" t="s">
        <v>211</v>
      </c>
      <c r="E72" t="s">
        <v>212</v>
      </c>
      <c r="F72" t="s">
        <v>83</v>
      </c>
      <c r="G72" t="s">
        <v>84</v>
      </c>
      <c r="H72" t="s">
        <v>1</v>
      </c>
      <c r="I72" t="s">
        <v>225</v>
      </c>
      <c r="J72">
        <v>323</v>
      </c>
      <c r="K72" t="s">
        <v>86</v>
      </c>
    </row>
    <row r="73" spans="1:11" x14ac:dyDescent="0.55000000000000004">
      <c r="A73" t="s">
        <v>226</v>
      </c>
      <c r="B73" t="s">
        <v>84</v>
      </c>
      <c r="C73" t="s">
        <v>222</v>
      </c>
      <c r="D73" t="s">
        <v>211</v>
      </c>
      <c r="E73" t="s">
        <v>212</v>
      </c>
      <c r="F73" t="s">
        <v>83</v>
      </c>
      <c r="G73" t="s">
        <v>84</v>
      </c>
      <c r="H73" t="s">
        <v>1</v>
      </c>
      <c r="I73" t="s">
        <v>227</v>
      </c>
      <c r="J73">
        <v>338</v>
      </c>
      <c r="K73" t="s">
        <v>86</v>
      </c>
    </row>
    <row r="74" spans="1:11" x14ac:dyDescent="0.55000000000000004">
      <c r="A74" t="s">
        <v>228</v>
      </c>
      <c r="B74" t="s">
        <v>84</v>
      </c>
      <c r="C74" t="s">
        <v>222</v>
      </c>
      <c r="D74" t="s">
        <v>211</v>
      </c>
      <c r="E74" t="s">
        <v>212</v>
      </c>
      <c r="F74" t="s">
        <v>83</v>
      </c>
      <c r="G74" t="s">
        <v>84</v>
      </c>
      <c r="H74" t="s">
        <v>1</v>
      </c>
      <c r="K74" t="s">
        <v>86</v>
      </c>
    </row>
    <row r="75" spans="1:11" x14ac:dyDescent="0.55000000000000004">
      <c r="A75" t="s">
        <v>229</v>
      </c>
      <c r="B75" t="s">
        <v>229</v>
      </c>
      <c r="C75" t="s">
        <v>222</v>
      </c>
      <c r="D75" t="s">
        <v>211</v>
      </c>
      <c r="E75" t="s">
        <v>212</v>
      </c>
      <c r="F75" t="s">
        <v>83</v>
      </c>
      <c r="G75" t="s">
        <v>84</v>
      </c>
      <c r="H75" t="s">
        <v>1</v>
      </c>
      <c r="I75" t="s">
        <v>230</v>
      </c>
      <c r="J75">
        <v>324</v>
      </c>
      <c r="K75" t="s">
        <v>86</v>
      </c>
    </row>
    <row r="76" spans="1:11" x14ac:dyDescent="0.55000000000000004">
      <c r="A76" t="s">
        <v>231</v>
      </c>
      <c r="B76" t="s">
        <v>84</v>
      </c>
      <c r="C76" t="s">
        <v>222</v>
      </c>
      <c r="D76" t="s">
        <v>211</v>
      </c>
      <c r="E76" t="s">
        <v>212</v>
      </c>
      <c r="F76" t="s">
        <v>83</v>
      </c>
      <c r="G76" t="s">
        <v>84</v>
      </c>
      <c r="H76" t="s">
        <v>1</v>
      </c>
      <c r="K76" t="s">
        <v>86</v>
      </c>
    </row>
    <row r="77" spans="1:11" x14ac:dyDescent="0.55000000000000004">
      <c r="A77" t="s">
        <v>232</v>
      </c>
      <c r="B77" t="s">
        <v>229</v>
      </c>
      <c r="C77" t="s">
        <v>222</v>
      </c>
      <c r="D77" t="s">
        <v>211</v>
      </c>
      <c r="E77" t="s">
        <v>212</v>
      </c>
      <c r="F77" t="s">
        <v>83</v>
      </c>
      <c r="G77" t="s">
        <v>84</v>
      </c>
      <c r="H77" t="s">
        <v>1</v>
      </c>
      <c r="I77" t="s">
        <v>233</v>
      </c>
      <c r="J77">
        <v>327</v>
      </c>
      <c r="K77" t="s">
        <v>86</v>
      </c>
    </row>
    <row r="78" spans="1:11" x14ac:dyDescent="0.55000000000000004">
      <c r="A78" t="s">
        <v>234</v>
      </c>
      <c r="B78" t="s">
        <v>229</v>
      </c>
      <c r="C78" t="s">
        <v>222</v>
      </c>
      <c r="D78" t="s">
        <v>211</v>
      </c>
      <c r="E78" t="s">
        <v>212</v>
      </c>
      <c r="F78" t="s">
        <v>83</v>
      </c>
      <c r="G78" t="s">
        <v>84</v>
      </c>
      <c r="H78" t="s">
        <v>1</v>
      </c>
      <c r="I78" t="s">
        <v>235</v>
      </c>
      <c r="J78">
        <v>328</v>
      </c>
      <c r="K78" t="s">
        <v>86</v>
      </c>
    </row>
    <row r="79" spans="1:11" x14ac:dyDescent="0.55000000000000004">
      <c r="A79" t="s">
        <v>236</v>
      </c>
      <c r="B79" t="s">
        <v>229</v>
      </c>
      <c r="C79" t="s">
        <v>222</v>
      </c>
      <c r="D79" t="s">
        <v>211</v>
      </c>
      <c r="E79" t="s">
        <v>212</v>
      </c>
      <c r="F79" t="s">
        <v>83</v>
      </c>
      <c r="G79" t="s">
        <v>84</v>
      </c>
      <c r="H79" t="s">
        <v>1</v>
      </c>
      <c r="I79" t="s">
        <v>237</v>
      </c>
      <c r="J79">
        <v>330</v>
      </c>
      <c r="K79" t="s">
        <v>86</v>
      </c>
    </row>
    <row r="80" spans="1:11" x14ac:dyDescent="0.55000000000000004">
      <c r="A80" t="s">
        <v>238</v>
      </c>
      <c r="B80" t="s">
        <v>238</v>
      </c>
      <c r="C80" t="s">
        <v>222</v>
      </c>
      <c r="D80" t="s">
        <v>211</v>
      </c>
      <c r="E80" t="s">
        <v>212</v>
      </c>
      <c r="F80" t="s">
        <v>83</v>
      </c>
      <c r="G80" t="s">
        <v>84</v>
      </c>
      <c r="H80" t="s">
        <v>1</v>
      </c>
      <c r="I80" t="s">
        <v>239</v>
      </c>
      <c r="J80">
        <v>325</v>
      </c>
      <c r="K80" t="s">
        <v>86</v>
      </c>
    </row>
    <row r="81" spans="1:11" x14ac:dyDescent="0.55000000000000004">
      <c r="A81" t="s">
        <v>240</v>
      </c>
      <c r="B81" t="s">
        <v>240</v>
      </c>
      <c r="C81" t="s">
        <v>222</v>
      </c>
      <c r="D81" t="s">
        <v>211</v>
      </c>
      <c r="E81" t="s">
        <v>212</v>
      </c>
      <c r="F81" t="s">
        <v>83</v>
      </c>
      <c r="G81" t="s">
        <v>84</v>
      </c>
      <c r="H81" t="s">
        <v>1</v>
      </c>
      <c r="I81" t="s">
        <v>241</v>
      </c>
      <c r="J81">
        <v>1900</v>
      </c>
      <c r="K81" t="s">
        <v>86</v>
      </c>
    </row>
    <row r="82" spans="1:11" x14ac:dyDescent="0.55000000000000004">
      <c r="A82" t="s">
        <v>242</v>
      </c>
      <c r="B82" t="s">
        <v>242</v>
      </c>
      <c r="C82" t="s">
        <v>222</v>
      </c>
      <c r="D82" t="s">
        <v>211</v>
      </c>
      <c r="E82" t="s">
        <v>212</v>
      </c>
      <c r="F82" t="s">
        <v>83</v>
      </c>
      <c r="G82" t="s">
        <v>84</v>
      </c>
      <c r="H82" t="s">
        <v>1</v>
      </c>
      <c r="I82" t="s">
        <v>243</v>
      </c>
      <c r="J82">
        <v>333</v>
      </c>
      <c r="K82" t="s">
        <v>86</v>
      </c>
    </row>
    <row r="83" spans="1:11" x14ac:dyDescent="0.55000000000000004">
      <c r="A83" t="s">
        <v>244</v>
      </c>
      <c r="B83" t="s">
        <v>244</v>
      </c>
      <c r="C83" t="s">
        <v>222</v>
      </c>
      <c r="D83" t="s">
        <v>211</v>
      </c>
      <c r="E83" t="s">
        <v>212</v>
      </c>
      <c r="F83" t="s">
        <v>83</v>
      </c>
      <c r="G83" t="s">
        <v>84</v>
      </c>
      <c r="H83" t="s">
        <v>245</v>
      </c>
      <c r="I83" t="s">
        <v>246</v>
      </c>
      <c r="J83">
        <v>361</v>
      </c>
      <c r="K83" t="s">
        <v>86</v>
      </c>
    </row>
    <row r="84" spans="1:11" x14ac:dyDescent="0.55000000000000004">
      <c r="A84" t="s">
        <v>247</v>
      </c>
      <c r="B84" t="s">
        <v>247</v>
      </c>
      <c r="C84" t="s">
        <v>248</v>
      </c>
      <c r="E84" t="s">
        <v>212</v>
      </c>
      <c r="F84" t="s">
        <v>83</v>
      </c>
      <c r="G84" t="s">
        <v>84</v>
      </c>
      <c r="H84" t="s">
        <v>1</v>
      </c>
      <c r="I84" t="s">
        <v>198</v>
      </c>
      <c r="J84">
        <v>370</v>
      </c>
      <c r="K84" t="s">
        <v>86</v>
      </c>
    </row>
    <row r="85" spans="1:11" x14ac:dyDescent="0.55000000000000004">
      <c r="A85" t="s">
        <v>249</v>
      </c>
      <c r="B85" t="s">
        <v>249</v>
      </c>
      <c r="C85" t="s">
        <v>248</v>
      </c>
      <c r="E85" t="s">
        <v>212</v>
      </c>
      <c r="F85" t="s">
        <v>83</v>
      </c>
      <c r="G85" t="s">
        <v>84</v>
      </c>
      <c r="H85" t="s">
        <v>1</v>
      </c>
      <c r="I85" t="s">
        <v>250</v>
      </c>
      <c r="J85">
        <v>371</v>
      </c>
      <c r="K85" t="s">
        <v>86</v>
      </c>
    </row>
    <row r="86" spans="1:11" x14ac:dyDescent="0.55000000000000004">
      <c r="A86" t="s">
        <v>251</v>
      </c>
      <c r="B86" t="s">
        <v>251</v>
      </c>
      <c r="C86" t="s">
        <v>251</v>
      </c>
      <c r="E86" t="s">
        <v>212</v>
      </c>
      <c r="F86" t="s">
        <v>83</v>
      </c>
      <c r="G86" t="s">
        <v>84</v>
      </c>
      <c r="H86" t="s">
        <v>1</v>
      </c>
      <c r="I86" t="s">
        <v>124</v>
      </c>
      <c r="J86">
        <v>390</v>
      </c>
      <c r="K86" t="s">
        <v>86</v>
      </c>
    </row>
    <row r="87" spans="1:11" x14ac:dyDescent="0.55000000000000004">
      <c r="A87" t="s">
        <v>252</v>
      </c>
      <c r="B87" t="s">
        <v>251</v>
      </c>
      <c r="C87" t="s">
        <v>251</v>
      </c>
      <c r="E87" t="s">
        <v>212</v>
      </c>
      <c r="F87" t="s">
        <v>83</v>
      </c>
      <c r="G87" t="s">
        <v>84</v>
      </c>
      <c r="H87" t="s">
        <v>1</v>
      </c>
      <c r="I87" t="s">
        <v>253</v>
      </c>
      <c r="J87">
        <v>391</v>
      </c>
      <c r="K87" t="s">
        <v>86</v>
      </c>
    </row>
    <row r="88" spans="1:11" x14ac:dyDescent="0.55000000000000004">
      <c r="A88" t="s">
        <v>254</v>
      </c>
      <c r="B88" t="s">
        <v>251</v>
      </c>
      <c r="C88" t="s">
        <v>251</v>
      </c>
      <c r="E88" t="s">
        <v>212</v>
      </c>
      <c r="F88" t="s">
        <v>83</v>
      </c>
      <c r="G88" t="s">
        <v>84</v>
      </c>
      <c r="H88" t="s">
        <v>1</v>
      </c>
      <c r="I88" t="s">
        <v>255</v>
      </c>
      <c r="J88">
        <v>392</v>
      </c>
      <c r="K88" t="s">
        <v>86</v>
      </c>
    </row>
    <row r="89" spans="1:11" x14ac:dyDescent="0.55000000000000004">
      <c r="A89" t="s">
        <v>256</v>
      </c>
      <c r="B89" t="s">
        <v>251</v>
      </c>
      <c r="C89" t="s">
        <v>251</v>
      </c>
      <c r="E89" t="s">
        <v>212</v>
      </c>
      <c r="F89" t="s">
        <v>83</v>
      </c>
      <c r="G89" t="s">
        <v>84</v>
      </c>
      <c r="H89" t="s">
        <v>1</v>
      </c>
      <c r="I89" t="s">
        <v>257</v>
      </c>
      <c r="J89">
        <v>800</v>
      </c>
      <c r="K89" t="s">
        <v>129</v>
      </c>
    </row>
    <row r="90" spans="1:11" x14ac:dyDescent="0.55000000000000004">
      <c r="A90" t="s">
        <v>258</v>
      </c>
      <c r="B90" t="s">
        <v>251</v>
      </c>
      <c r="C90" t="s">
        <v>251</v>
      </c>
      <c r="E90" t="s">
        <v>212</v>
      </c>
      <c r="F90" t="s">
        <v>83</v>
      </c>
      <c r="G90" t="s">
        <v>84</v>
      </c>
      <c r="H90" t="s">
        <v>1</v>
      </c>
      <c r="I90" t="s">
        <v>259</v>
      </c>
      <c r="J90">
        <v>801</v>
      </c>
      <c r="K90" t="s">
        <v>129</v>
      </c>
    </row>
    <row r="91" spans="1:11" x14ac:dyDescent="0.55000000000000004">
      <c r="A91" t="s">
        <v>260</v>
      </c>
      <c r="B91" t="s">
        <v>251</v>
      </c>
      <c r="C91" t="s">
        <v>251</v>
      </c>
      <c r="E91" t="s">
        <v>212</v>
      </c>
      <c r="F91" t="s">
        <v>83</v>
      </c>
      <c r="G91" t="s">
        <v>84</v>
      </c>
      <c r="H91" t="s">
        <v>1</v>
      </c>
      <c r="I91" t="s">
        <v>261</v>
      </c>
      <c r="J91">
        <v>802</v>
      </c>
      <c r="K91" t="s">
        <v>129</v>
      </c>
    </row>
    <row r="92" spans="1:11" x14ac:dyDescent="0.55000000000000004">
      <c r="A92" t="s">
        <v>262</v>
      </c>
      <c r="B92" t="s">
        <v>251</v>
      </c>
      <c r="C92" t="s">
        <v>251</v>
      </c>
      <c r="E92" t="s">
        <v>212</v>
      </c>
      <c r="F92" t="s">
        <v>83</v>
      </c>
      <c r="G92" t="s">
        <v>84</v>
      </c>
      <c r="H92" t="s">
        <v>1</v>
      </c>
      <c r="I92" t="s">
        <v>263</v>
      </c>
      <c r="J92">
        <v>803</v>
      </c>
      <c r="K92" t="s">
        <v>129</v>
      </c>
    </row>
    <row r="93" spans="1:11" x14ac:dyDescent="0.55000000000000004">
      <c r="A93" t="s">
        <v>264</v>
      </c>
      <c r="B93" t="s">
        <v>251</v>
      </c>
      <c r="C93" t="s">
        <v>251</v>
      </c>
      <c r="E93" t="s">
        <v>212</v>
      </c>
      <c r="F93" t="s">
        <v>83</v>
      </c>
      <c r="G93" t="s">
        <v>84</v>
      </c>
      <c r="H93" t="s">
        <v>1</v>
      </c>
      <c r="I93" t="s">
        <v>265</v>
      </c>
      <c r="J93">
        <v>804</v>
      </c>
      <c r="K93" t="s">
        <v>129</v>
      </c>
    </row>
    <row r="94" spans="1:11" x14ac:dyDescent="0.55000000000000004">
      <c r="A94" t="s">
        <v>266</v>
      </c>
      <c r="B94" t="s">
        <v>251</v>
      </c>
      <c r="C94" t="s">
        <v>251</v>
      </c>
      <c r="E94" t="s">
        <v>212</v>
      </c>
      <c r="F94" t="s">
        <v>83</v>
      </c>
      <c r="G94" t="s">
        <v>84</v>
      </c>
      <c r="H94" t="s">
        <v>1</v>
      </c>
      <c r="I94" t="s">
        <v>267</v>
      </c>
      <c r="J94">
        <v>805</v>
      </c>
      <c r="K94" t="s">
        <v>129</v>
      </c>
    </row>
    <row r="95" spans="1:11" x14ac:dyDescent="0.55000000000000004">
      <c r="A95" t="s">
        <v>268</v>
      </c>
      <c r="B95" t="s">
        <v>251</v>
      </c>
      <c r="C95" t="s">
        <v>251</v>
      </c>
      <c r="E95" t="s">
        <v>212</v>
      </c>
      <c r="F95" t="s">
        <v>83</v>
      </c>
      <c r="G95" t="s">
        <v>84</v>
      </c>
      <c r="H95" t="s">
        <v>1</v>
      </c>
      <c r="I95" t="s">
        <v>269</v>
      </c>
      <c r="J95">
        <v>806</v>
      </c>
      <c r="K95" t="s">
        <v>129</v>
      </c>
    </row>
    <row r="96" spans="1:11" x14ac:dyDescent="0.55000000000000004">
      <c r="A96" t="s">
        <v>270</v>
      </c>
      <c r="B96" t="s">
        <v>251</v>
      </c>
      <c r="C96" t="s">
        <v>251</v>
      </c>
      <c r="E96" t="s">
        <v>212</v>
      </c>
      <c r="F96" t="s">
        <v>83</v>
      </c>
      <c r="G96" t="s">
        <v>84</v>
      </c>
      <c r="H96" t="s">
        <v>1</v>
      </c>
      <c r="I96" t="s">
        <v>271</v>
      </c>
      <c r="J96">
        <v>807</v>
      </c>
      <c r="K96" t="s">
        <v>129</v>
      </c>
    </row>
    <row r="97" spans="1:11" x14ac:dyDescent="0.55000000000000004">
      <c r="A97" t="s">
        <v>272</v>
      </c>
      <c r="B97" t="s">
        <v>251</v>
      </c>
      <c r="C97" t="s">
        <v>251</v>
      </c>
      <c r="E97" t="s">
        <v>212</v>
      </c>
      <c r="F97" t="s">
        <v>83</v>
      </c>
      <c r="G97" t="s">
        <v>84</v>
      </c>
      <c r="H97" t="s">
        <v>1</v>
      </c>
      <c r="I97" t="s">
        <v>273</v>
      </c>
      <c r="J97">
        <v>851</v>
      </c>
      <c r="K97" t="s">
        <v>129</v>
      </c>
    </row>
    <row r="98" spans="1:11" x14ac:dyDescent="0.55000000000000004">
      <c r="A98" t="s">
        <v>274</v>
      </c>
      <c r="B98" t="s">
        <v>274</v>
      </c>
      <c r="C98" t="s">
        <v>274</v>
      </c>
      <c r="E98" t="s">
        <v>275</v>
      </c>
      <c r="F98" t="s">
        <v>83</v>
      </c>
      <c r="G98" t="s">
        <v>84</v>
      </c>
      <c r="H98" t="s">
        <v>1</v>
      </c>
      <c r="I98" t="s">
        <v>276</v>
      </c>
      <c r="J98">
        <v>400</v>
      </c>
      <c r="K98" t="s">
        <v>86</v>
      </c>
    </row>
    <row r="99" spans="1:11" x14ac:dyDescent="0.55000000000000004">
      <c r="A99" t="s">
        <v>277</v>
      </c>
      <c r="B99" t="s">
        <v>278</v>
      </c>
      <c r="C99" t="s">
        <v>279</v>
      </c>
      <c r="E99" t="s">
        <v>279</v>
      </c>
      <c r="F99" t="s">
        <v>83</v>
      </c>
      <c r="G99" t="s">
        <v>84</v>
      </c>
      <c r="H99" t="s">
        <v>1</v>
      </c>
      <c r="K99" t="s">
        <v>86</v>
      </c>
    </row>
    <row r="100" spans="1:11" x14ac:dyDescent="0.55000000000000004">
      <c r="A100" t="s">
        <v>2</v>
      </c>
      <c r="B100" t="s">
        <v>2</v>
      </c>
      <c r="C100" t="s">
        <v>280</v>
      </c>
      <c r="E100" t="s">
        <v>277</v>
      </c>
      <c r="F100" t="s">
        <v>8</v>
      </c>
      <c r="G100" t="s">
        <v>92</v>
      </c>
      <c r="H100" t="s">
        <v>245</v>
      </c>
      <c r="I100" t="s">
        <v>281</v>
      </c>
      <c r="J100">
        <v>500</v>
      </c>
      <c r="K100" t="s">
        <v>86</v>
      </c>
    </row>
    <row r="101" spans="1:11" x14ac:dyDescent="0.55000000000000004">
      <c r="A101" t="s">
        <v>57</v>
      </c>
      <c r="B101" t="s">
        <v>2</v>
      </c>
      <c r="C101" t="s">
        <v>280</v>
      </c>
      <c r="E101" t="s">
        <v>277</v>
      </c>
      <c r="F101" t="s">
        <v>8</v>
      </c>
      <c r="G101" t="s">
        <v>92</v>
      </c>
      <c r="H101" t="s">
        <v>282</v>
      </c>
      <c r="I101" t="s">
        <v>283</v>
      </c>
      <c r="J101">
        <v>510</v>
      </c>
      <c r="K101" t="s">
        <v>86</v>
      </c>
    </row>
    <row r="102" spans="1:11" x14ac:dyDescent="0.55000000000000004">
      <c r="A102" t="s">
        <v>56</v>
      </c>
      <c r="B102" t="s">
        <v>2</v>
      </c>
      <c r="C102" t="s">
        <v>280</v>
      </c>
      <c r="E102" t="s">
        <v>277</v>
      </c>
      <c r="F102" t="s">
        <v>8</v>
      </c>
      <c r="G102" t="s">
        <v>92</v>
      </c>
      <c r="H102" t="s">
        <v>282</v>
      </c>
      <c r="I102" t="s">
        <v>284</v>
      </c>
      <c r="J102">
        <v>520</v>
      </c>
      <c r="K102" t="s">
        <v>86</v>
      </c>
    </row>
    <row r="103" spans="1:11" x14ac:dyDescent="0.55000000000000004">
      <c r="A103" t="s">
        <v>285</v>
      </c>
      <c r="B103" t="s">
        <v>2</v>
      </c>
      <c r="C103" t="s">
        <v>280</v>
      </c>
      <c r="E103" t="s">
        <v>277</v>
      </c>
      <c r="F103" t="s">
        <v>8</v>
      </c>
      <c r="G103" t="s">
        <v>92</v>
      </c>
      <c r="H103" t="s">
        <v>245</v>
      </c>
      <c r="I103" t="s">
        <v>286</v>
      </c>
      <c r="J103">
        <v>583</v>
      </c>
      <c r="K103" t="s">
        <v>86</v>
      </c>
    </row>
    <row r="104" spans="1:11" x14ac:dyDescent="0.55000000000000004">
      <c r="A104" t="s">
        <v>287</v>
      </c>
      <c r="B104" t="s">
        <v>3</v>
      </c>
      <c r="C104" t="s">
        <v>280</v>
      </c>
      <c r="E104" t="s">
        <v>277</v>
      </c>
      <c r="F104" t="s">
        <v>83</v>
      </c>
      <c r="G104" t="s">
        <v>92</v>
      </c>
      <c r="H104" t="s">
        <v>245</v>
      </c>
      <c r="I104" t="s">
        <v>288</v>
      </c>
      <c r="J104">
        <v>580</v>
      </c>
      <c r="K104" t="s">
        <v>86</v>
      </c>
    </row>
    <row r="105" spans="1:11" x14ac:dyDescent="0.55000000000000004">
      <c r="A105" t="s">
        <v>3</v>
      </c>
      <c r="B105" t="s">
        <v>3</v>
      </c>
      <c r="C105" t="s">
        <v>280</v>
      </c>
      <c r="E105" t="s">
        <v>277</v>
      </c>
      <c r="F105" t="s">
        <v>83</v>
      </c>
      <c r="G105" t="s">
        <v>92</v>
      </c>
      <c r="H105" t="s">
        <v>245</v>
      </c>
      <c r="I105" t="s">
        <v>289</v>
      </c>
      <c r="J105">
        <v>590</v>
      </c>
      <c r="K105" t="s">
        <v>86</v>
      </c>
    </row>
    <row r="106" spans="1:11" x14ac:dyDescent="0.55000000000000004">
      <c r="A106" t="s">
        <v>290</v>
      </c>
      <c r="B106" t="s">
        <v>3</v>
      </c>
      <c r="C106" t="s">
        <v>280</v>
      </c>
      <c r="E106" t="s">
        <v>277</v>
      </c>
      <c r="F106" t="s">
        <v>145</v>
      </c>
      <c r="G106" t="s">
        <v>92</v>
      </c>
      <c r="H106" t="s">
        <v>245</v>
      </c>
      <c r="K106" t="s">
        <v>86</v>
      </c>
    </row>
    <row r="107" spans="1:11" x14ac:dyDescent="0.55000000000000004">
      <c r="A107" t="s">
        <v>291</v>
      </c>
      <c r="B107" t="s">
        <v>291</v>
      </c>
      <c r="C107" t="s">
        <v>280</v>
      </c>
      <c r="E107" t="s">
        <v>277</v>
      </c>
      <c r="F107" t="s">
        <v>83</v>
      </c>
      <c r="G107" t="s">
        <v>92</v>
      </c>
      <c r="H107" t="s">
        <v>292</v>
      </c>
      <c r="I107" t="s">
        <v>293</v>
      </c>
      <c r="J107">
        <v>581</v>
      </c>
      <c r="K107" t="s">
        <v>86</v>
      </c>
    </row>
    <row r="108" spans="1:11" x14ac:dyDescent="0.55000000000000004">
      <c r="A108" t="s">
        <v>294</v>
      </c>
      <c r="B108" t="s">
        <v>294</v>
      </c>
      <c r="C108" t="s">
        <v>280</v>
      </c>
      <c r="E108" t="s">
        <v>277</v>
      </c>
      <c r="F108" t="s">
        <v>8</v>
      </c>
      <c r="G108" t="s">
        <v>92</v>
      </c>
      <c r="H108" t="s">
        <v>1</v>
      </c>
      <c r="I108" t="s">
        <v>295</v>
      </c>
      <c r="J108">
        <v>131</v>
      </c>
      <c r="K108" t="s">
        <v>86</v>
      </c>
    </row>
    <row r="109" spans="1:11" x14ac:dyDescent="0.55000000000000004">
      <c r="A109" t="s">
        <v>296</v>
      </c>
      <c r="B109" t="s">
        <v>296</v>
      </c>
      <c r="C109" t="s">
        <v>297</v>
      </c>
      <c r="E109" t="s">
        <v>277</v>
      </c>
      <c r="F109" t="s">
        <v>8</v>
      </c>
      <c r="G109" t="s">
        <v>6</v>
      </c>
      <c r="H109" t="s">
        <v>1</v>
      </c>
      <c r="I109" t="s">
        <v>298</v>
      </c>
      <c r="J109">
        <v>600</v>
      </c>
      <c r="K109" t="s">
        <v>86</v>
      </c>
    </row>
    <row r="110" spans="1:11" x14ac:dyDescent="0.55000000000000004">
      <c r="A110" t="s">
        <v>4</v>
      </c>
      <c r="B110" t="s">
        <v>4</v>
      </c>
      <c r="C110" t="s">
        <v>297</v>
      </c>
      <c r="E110" t="s">
        <v>277</v>
      </c>
      <c r="F110" t="s">
        <v>145</v>
      </c>
      <c r="G110" t="s">
        <v>6</v>
      </c>
      <c r="H110" t="s">
        <v>105</v>
      </c>
      <c r="I110" t="s">
        <v>299</v>
      </c>
      <c r="J110">
        <v>610</v>
      </c>
      <c r="K110" t="s">
        <v>86</v>
      </c>
    </row>
    <row r="111" spans="1:11" x14ac:dyDescent="0.55000000000000004">
      <c r="A111" t="s">
        <v>300</v>
      </c>
      <c r="B111" t="s">
        <v>4</v>
      </c>
      <c r="C111" t="s">
        <v>297</v>
      </c>
      <c r="E111" t="s">
        <v>277</v>
      </c>
      <c r="F111" t="s">
        <v>145</v>
      </c>
      <c r="G111" t="s">
        <v>6</v>
      </c>
      <c r="H111" t="s">
        <v>292</v>
      </c>
      <c r="I111" t="s">
        <v>301</v>
      </c>
      <c r="J111">
        <v>620</v>
      </c>
      <c r="K111" t="s">
        <v>86</v>
      </c>
    </row>
    <row r="112" spans="1:11" x14ac:dyDescent="0.55000000000000004">
      <c r="A112" t="s">
        <v>302</v>
      </c>
      <c r="B112" t="s">
        <v>4</v>
      </c>
      <c r="C112" t="s">
        <v>297</v>
      </c>
      <c r="E112" t="s">
        <v>277</v>
      </c>
      <c r="F112" t="s">
        <v>145</v>
      </c>
      <c r="G112" t="s">
        <v>6</v>
      </c>
      <c r="H112" t="s">
        <v>292</v>
      </c>
      <c r="I112" t="s">
        <v>303</v>
      </c>
      <c r="J112">
        <v>630</v>
      </c>
      <c r="K112" t="s">
        <v>86</v>
      </c>
    </row>
    <row r="113" spans="1:11" x14ac:dyDescent="0.55000000000000004">
      <c r="A113" t="s">
        <v>48</v>
      </c>
      <c r="B113" t="s">
        <v>4</v>
      </c>
      <c r="C113" t="s">
        <v>297</v>
      </c>
      <c r="E113" t="s">
        <v>277</v>
      </c>
      <c r="F113" t="s">
        <v>145</v>
      </c>
      <c r="G113" t="s">
        <v>6</v>
      </c>
      <c r="H113" t="s">
        <v>292</v>
      </c>
      <c r="I113" t="s">
        <v>293</v>
      </c>
      <c r="J113">
        <v>640</v>
      </c>
      <c r="K113" t="s">
        <v>86</v>
      </c>
    </row>
    <row r="114" spans="1:11" x14ac:dyDescent="0.55000000000000004">
      <c r="A114" t="s">
        <v>304</v>
      </c>
      <c r="B114" t="s">
        <v>304</v>
      </c>
      <c r="C114" t="s">
        <v>297</v>
      </c>
      <c r="E114" t="s">
        <v>277</v>
      </c>
      <c r="F114" t="s">
        <v>145</v>
      </c>
      <c r="G114" t="s">
        <v>6</v>
      </c>
      <c r="H114" t="s">
        <v>1</v>
      </c>
      <c r="I114" t="s">
        <v>305</v>
      </c>
      <c r="J114">
        <v>650</v>
      </c>
      <c r="K114" t="s">
        <v>86</v>
      </c>
    </row>
    <row r="115" spans="1:11" x14ac:dyDescent="0.55000000000000004">
      <c r="A115" t="s">
        <v>306</v>
      </c>
      <c r="B115" t="s">
        <v>306</v>
      </c>
      <c r="C115" t="s">
        <v>297</v>
      </c>
      <c r="E115" t="s">
        <v>277</v>
      </c>
      <c r="F115" t="s">
        <v>145</v>
      </c>
      <c r="G115" t="s">
        <v>6</v>
      </c>
      <c r="H115" t="s">
        <v>1</v>
      </c>
      <c r="I115" t="s">
        <v>295</v>
      </c>
      <c r="J115">
        <v>302</v>
      </c>
      <c r="K115" t="s">
        <v>86</v>
      </c>
    </row>
    <row r="116" spans="1:11" x14ac:dyDescent="0.55000000000000004">
      <c r="A116" t="s">
        <v>307</v>
      </c>
      <c r="B116" t="s">
        <v>307</v>
      </c>
      <c r="C116" t="s">
        <v>308</v>
      </c>
      <c r="E116" t="s">
        <v>277</v>
      </c>
      <c r="F116" t="s">
        <v>145</v>
      </c>
      <c r="G116" t="s">
        <v>6</v>
      </c>
      <c r="H116" t="s">
        <v>1</v>
      </c>
      <c r="I116" t="s">
        <v>309</v>
      </c>
      <c r="J116">
        <v>721</v>
      </c>
      <c r="K116" t="s">
        <v>86</v>
      </c>
    </row>
    <row r="117" spans="1:11" x14ac:dyDescent="0.55000000000000004">
      <c r="A117" t="s">
        <v>310</v>
      </c>
      <c r="B117" t="s">
        <v>310</v>
      </c>
      <c r="C117" t="s">
        <v>308</v>
      </c>
      <c r="E117" t="s">
        <v>277</v>
      </c>
      <c r="F117" t="s">
        <v>145</v>
      </c>
      <c r="G117" t="s">
        <v>6</v>
      </c>
      <c r="H117" t="s">
        <v>1</v>
      </c>
      <c r="I117" t="s">
        <v>305</v>
      </c>
      <c r="J117">
        <v>738</v>
      </c>
      <c r="K117" t="s">
        <v>86</v>
      </c>
    </row>
    <row r="118" spans="1:11" x14ac:dyDescent="0.55000000000000004">
      <c r="A118" t="s">
        <v>311</v>
      </c>
      <c r="B118" t="s">
        <v>312</v>
      </c>
      <c r="C118" t="s">
        <v>313</v>
      </c>
      <c r="E118" t="s">
        <v>277</v>
      </c>
      <c r="F118" t="s">
        <v>83</v>
      </c>
      <c r="G118" t="s">
        <v>84</v>
      </c>
      <c r="H118" t="s">
        <v>105</v>
      </c>
      <c r="I118" t="s">
        <v>314</v>
      </c>
      <c r="J118">
        <v>736</v>
      </c>
      <c r="K118" t="s">
        <v>86</v>
      </c>
    </row>
    <row r="119" spans="1:11" x14ac:dyDescent="0.55000000000000004">
      <c r="A119" t="s">
        <v>315</v>
      </c>
      <c r="B119" t="s">
        <v>315</v>
      </c>
      <c r="C119" t="s">
        <v>313</v>
      </c>
      <c r="E119" t="s">
        <v>277</v>
      </c>
      <c r="F119" t="s">
        <v>145</v>
      </c>
      <c r="G119" t="s">
        <v>84</v>
      </c>
      <c r="H119" t="s">
        <v>1</v>
      </c>
      <c r="I119" t="s">
        <v>316</v>
      </c>
      <c r="J119">
        <v>700</v>
      </c>
      <c r="K119" t="s">
        <v>86</v>
      </c>
    </row>
    <row r="120" spans="1:11" x14ac:dyDescent="0.55000000000000004">
      <c r="A120" t="s">
        <v>59</v>
      </c>
      <c r="B120" t="s">
        <v>59</v>
      </c>
      <c r="C120" t="s">
        <v>313</v>
      </c>
      <c r="E120" t="s">
        <v>277</v>
      </c>
      <c r="F120" t="s">
        <v>145</v>
      </c>
      <c r="G120" t="s">
        <v>84</v>
      </c>
      <c r="H120" t="s">
        <v>105</v>
      </c>
      <c r="I120" t="s">
        <v>317</v>
      </c>
      <c r="J120">
        <v>701</v>
      </c>
      <c r="K120" t="s">
        <v>86</v>
      </c>
    </row>
    <row r="121" spans="1:11" x14ac:dyDescent="0.55000000000000004">
      <c r="A121" t="s">
        <v>318</v>
      </c>
      <c r="B121" t="s">
        <v>59</v>
      </c>
      <c r="C121" t="s">
        <v>313</v>
      </c>
      <c r="E121" t="s">
        <v>277</v>
      </c>
      <c r="F121" t="s">
        <v>145</v>
      </c>
      <c r="G121" t="s">
        <v>84</v>
      </c>
      <c r="H121" t="s">
        <v>105</v>
      </c>
      <c r="I121" t="s">
        <v>319</v>
      </c>
      <c r="J121">
        <v>702</v>
      </c>
      <c r="K121" t="s">
        <v>86</v>
      </c>
    </row>
    <row r="122" spans="1:11" x14ac:dyDescent="0.55000000000000004">
      <c r="A122" t="s">
        <v>320</v>
      </c>
      <c r="B122" t="s">
        <v>320</v>
      </c>
      <c r="C122" t="s">
        <v>313</v>
      </c>
      <c r="E122" t="s">
        <v>277</v>
      </c>
      <c r="F122" t="s">
        <v>145</v>
      </c>
      <c r="G122" t="s">
        <v>84</v>
      </c>
      <c r="H122" t="s">
        <v>105</v>
      </c>
      <c r="I122" t="s">
        <v>321</v>
      </c>
      <c r="J122">
        <v>703</v>
      </c>
      <c r="K122" t="s">
        <v>86</v>
      </c>
    </row>
    <row r="123" spans="1:11" x14ac:dyDescent="0.55000000000000004">
      <c r="A123" t="s">
        <v>322</v>
      </c>
      <c r="B123" t="s">
        <v>320</v>
      </c>
      <c r="C123" t="s">
        <v>313</v>
      </c>
      <c r="E123" t="s">
        <v>277</v>
      </c>
      <c r="F123" t="s">
        <v>145</v>
      </c>
      <c r="G123" t="s">
        <v>84</v>
      </c>
      <c r="H123" t="s">
        <v>105</v>
      </c>
      <c r="I123" t="s">
        <v>323</v>
      </c>
      <c r="J123">
        <v>727</v>
      </c>
      <c r="K123" t="s">
        <v>86</v>
      </c>
    </row>
    <row r="124" spans="1:11" x14ac:dyDescent="0.55000000000000004">
      <c r="A124" t="s">
        <v>324</v>
      </c>
      <c r="B124" t="s">
        <v>324</v>
      </c>
      <c r="C124" t="s">
        <v>313</v>
      </c>
      <c r="E124" t="s">
        <v>277</v>
      </c>
      <c r="F124" t="s">
        <v>145</v>
      </c>
      <c r="G124" t="s">
        <v>84</v>
      </c>
      <c r="H124" t="s">
        <v>105</v>
      </c>
      <c r="I124" t="s">
        <v>325</v>
      </c>
      <c r="J124">
        <v>704</v>
      </c>
      <c r="K124" t="s">
        <v>86</v>
      </c>
    </row>
    <row r="125" spans="1:11" x14ac:dyDescent="0.55000000000000004">
      <c r="A125" t="s">
        <v>326</v>
      </c>
      <c r="B125" t="s">
        <v>326</v>
      </c>
      <c r="C125" t="s">
        <v>313</v>
      </c>
      <c r="E125" t="s">
        <v>277</v>
      </c>
      <c r="F125" t="s">
        <v>145</v>
      </c>
      <c r="G125" t="s">
        <v>84</v>
      </c>
      <c r="H125" t="s">
        <v>105</v>
      </c>
      <c r="I125" t="s">
        <v>327</v>
      </c>
      <c r="J125">
        <v>705</v>
      </c>
      <c r="K125" t="s">
        <v>86</v>
      </c>
    </row>
    <row r="126" spans="1:11" x14ac:dyDescent="0.55000000000000004">
      <c r="A126" t="s">
        <v>60</v>
      </c>
      <c r="B126" t="s">
        <v>60</v>
      </c>
      <c r="C126" t="s">
        <v>313</v>
      </c>
      <c r="E126" t="s">
        <v>277</v>
      </c>
      <c r="F126" t="s">
        <v>145</v>
      </c>
      <c r="G126" t="s">
        <v>84</v>
      </c>
      <c r="H126" t="s">
        <v>105</v>
      </c>
      <c r="I126" t="s">
        <v>328</v>
      </c>
      <c r="J126">
        <v>706</v>
      </c>
      <c r="K126" t="s">
        <v>86</v>
      </c>
    </row>
    <row r="127" spans="1:11" x14ac:dyDescent="0.55000000000000004">
      <c r="A127" t="s">
        <v>58</v>
      </c>
      <c r="B127" t="s">
        <v>63</v>
      </c>
      <c r="C127" t="s">
        <v>313</v>
      </c>
      <c r="E127" t="s">
        <v>277</v>
      </c>
      <c r="F127" t="s">
        <v>8</v>
      </c>
      <c r="G127" t="s">
        <v>84</v>
      </c>
      <c r="H127" t="s">
        <v>105</v>
      </c>
      <c r="I127" t="s">
        <v>329</v>
      </c>
      <c r="J127">
        <v>733</v>
      </c>
      <c r="K127" t="s">
        <v>86</v>
      </c>
    </row>
    <row r="128" spans="1:11" x14ac:dyDescent="0.55000000000000004">
      <c r="A128" t="s">
        <v>330</v>
      </c>
      <c r="B128" t="s">
        <v>60</v>
      </c>
      <c r="C128" t="s">
        <v>313</v>
      </c>
      <c r="E128" t="s">
        <v>277</v>
      </c>
      <c r="F128" t="s">
        <v>145</v>
      </c>
      <c r="G128" t="s">
        <v>84</v>
      </c>
      <c r="H128" t="s">
        <v>105</v>
      </c>
      <c r="I128" t="s">
        <v>331</v>
      </c>
      <c r="J128">
        <v>734</v>
      </c>
      <c r="K128" t="s">
        <v>86</v>
      </c>
    </row>
    <row r="129" spans="1:11" x14ac:dyDescent="0.55000000000000004">
      <c r="A129" t="s">
        <v>332</v>
      </c>
      <c r="B129" t="s">
        <v>332</v>
      </c>
      <c r="C129" t="s">
        <v>313</v>
      </c>
      <c r="E129" t="s">
        <v>277</v>
      </c>
      <c r="F129" t="s">
        <v>145</v>
      </c>
      <c r="G129" t="s">
        <v>84</v>
      </c>
      <c r="H129" t="s">
        <v>105</v>
      </c>
      <c r="I129" t="s">
        <v>333</v>
      </c>
      <c r="J129">
        <v>707</v>
      </c>
      <c r="K129" t="s">
        <v>86</v>
      </c>
    </row>
    <row r="130" spans="1:11" x14ac:dyDescent="0.55000000000000004">
      <c r="A130" t="s">
        <v>334</v>
      </c>
      <c r="B130" t="s">
        <v>334</v>
      </c>
      <c r="C130" t="s">
        <v>313</v>
      </c>
      <c r="E130" t="s">
        <v>277</v>
      </c>
      <c r="F130" t="s">
        <v>145</v>
      </c>
      <c r="G130" t="s">
        <v>84</v>
      </c>
      <c r="H130" t="s">
        <v>1</v>
      </c>
      <c r="I130" t="s">
        <v>335</v>
      </c>
      <c r="J130">
        <v>708</v>
      </c>
      <c r="K130" t="s">
        <v>86</v>
      </c>
    </row>
    <row r="131" spans="1:11" x14ac:dyDescent="0.55000000000000004">
      <c r="A131" t="s">
        <v>5</v>
      </c>
      <c r="B131" t="s">
        <v>5</v>
      </c>
      <c r="C131" t="s">
        <v>313</v>
      </c>
      <c r="E131" t="s">
        <v>277</v>
      </c>
      <c r="F131" t="s">
        <v>145</v>
      </c>
      <c r="G131" t="s">
        <v>84</v>
      </c>
      <c r="H131" t="s">
        <v>105</v>
      </c>
      <c r="I131" t="s">
        <v>336</v>
      </c>
      <c r="J131">
        <v>709</v>
      </c>
      <c r="K131" t="s">
        <v>86</v>
      </c>
    </row>
    <row r="132" spans="1:11" x14ac:dyDescent="0.55000000000000004">
      <c r="A132" t="s">
        <v>337</v>
      </c>
      <c r="B132" t="s">
        <v>337</v>
      </c>
      <c r="C132" t="s">
        <v>313</v>
      </c>
      <c r="E132" t="s">
        <v>277</v>
      </c>
      <c r="F132" t="s">
        <v>145</v>
      </c>
      <c r="G132" t="s">
        <v>84</v>
      </c>
      <c r="H132" t="s">
        <v>105</v>
      </c>
      <c r="I132" t="s">
        <v>338</v>
      </c>
      <c r="J132">
        <v>710</v>
      </c>
      <c r="K132" t="s">
        <v>86</v>
      </c>
    </row>
    <row r="133" spans="1:11" x14ac:dyDescent="0.55000000000000004">
      <c r="A133" t="s">
        <v>339</v>
      </c>
      <c r="B133" t="s">
        <v>337</v>
      </c>
      <c r="C133" t="s">
        <v>313</v>
      </c>
      <c r="E133" t="s">
        <v>277</v>
      </c>
      <c r="F133" t="s">
        <v>145</v>
      </c>
      <c r="G133" t="s">
        <v>84</v>
      </c>
      <c r="H133" t="s">
        <v>105</v>
      </c>
      <c r="I133" t="s">
        <v>340</v>
      </c>
      <c r="J133">
        <v>711</v>
      </c>
      <c r="K133" t="s">
        <v>86</v>
      </c>
    </row>
    <row r="134" spans="1:11" x14ac:dyDescent="0.55000000000000004">
      <c r="A134" t="s">
        <v>7</v>
      </c>
      <c r="B134" t="s">
        <v>7</v>
      </c>
      <c r="C134" t="s">
        <v>313</v>
      </c>
      <c r="E134" t="s">
        <v>277</v>
      </c>
      <c r="F134" t="s">
        <v>145</v>
      </c>
      <c r="G134" t="s">
        <v>84</v>
      </c>
      <c r="H134" t="s">
        <v>1</v>
      </c>
      <c r="I134" t="s">
        <v>341</v>
      </c>
      <c r="J134">
        <v>712</v>
      </c>
      <c r="K134" t="s">
        <v>86</v>
      </c>
    </row>
    <row r="135" spans="1:11" x14ac:dyDescent="0.55000000000000004">
      <c r="A135" t="s">
        <v>342</v>
      </c>
      <c r="B135" t="s">
        <v>7</v>
      </c>
      <c r="C135" t="s">
        <v>313</v>
      </c>
      <c r="E135" t="s">
        <v>277</v>
      </c>
      <c r="F135" t="s">
        <v>145</v>
      </c>
      <c r="G135" t="s">
        <v>84</v>
      </c>
      <c r="H135" t="s">
        <v>1</v>
      </c>
      <c r="I135" t="s">
        <v>202</v>
      </c>
      <c r="J135">
        <v>741</v>
      </c>
      <c r="K135" t="s">
        <v>86</v>
      </c>
    </row>
    <row r="136" spans="1:11" x14ac:dyDescent="0.55000000000000004">
      <c r="A136" t="s">
        <v>343</v>
      </c>
      <c r="B136" t="s">
        <v>7</v>
      </c>
      <c r="C136" t="s">
        <v>313</v>
      </c>
      <c r="E136" t="s">
        <v>277</v>
      </c>
      <c r="F136" t="s">
        <v>145</v>
      </c>
      <c r="G136" t="s">
        <v>84</v>
      </c>
      <c r="H136" t="s">
        <v>1</v>
      </c>
      <c r="I136" t="s">
        <v>344</v>
      </c>
      <c r="J136">
        <v>742</v>
      </c>
      <c r="K136" t="s">
        <v>86</v>
      </c>
    </row>
    <row r="137" spans="1:11" x14ac:dyDescent="0.55000000000000004">
      <c r="A137" t="s">
        <v>345</v>
      </c>
      <c r="B137" t="s">
        <v>345</v>
      </c>
      <c r="C137" t="s">
        <v>313</v>
      </c>
      <c r="E137" t="s">
        <v>277</v>
      </c>
      <c r="F137" t="s">
        <v>145</v>
      </c>
      <c r="G137" t="s">
        <v>84</v>
      </c>
      <c r="H137" t="s">
        <v>105</v>
      </c>
      <c r="I137" t="s">
        <v>346</v>
      </c>
      <c r="J137">
        <v>713</v>
      </c>
      <c r="K137" t="s">
        <v>86</v>
      </c>
    </row>
    <row r="138" spans="1:11" x14ac:dyDescent="0.55000000000000004">
      <c r="A138" t="s">
        <v>347</v>
      </c>
      <c r="B138" t="s">
        <v>345</v>
      </c>
      <c r="C138" t="s">
        <v>313</v>
      </c>
      <c r="E138" t="s">
        <v>277</v>
      </c>
      <c r="F138" t="s">
        <v>145</v>
      </c>
      <c r="G138" t="s">
        <v>84</v>
      </c>
      <c r="H138" t="s">
        <v>1</v>
      </c>
      <c r="I138" t="s">
        <v>348</v>
      </c>
      <c r="J138">
        <v>714</v>
      </c>
      <c r="K138" t="s">
        <v>86</v>
      </c>
    </row>
    <row r="139" spans="1:11" x14ac:dyDescent="0.55000000000000004">
      <c r="A139" t="s">
        <v>349</v>
      </c>
      <c r="B139" t="s">
        <v>345</v>
      </c>
      <c r="C139" t="s">
        <v>313</v>
      </c>
      <c r="E139" t="s">
        <v>277</v>
      </c>
      <c r="F139" t="s">
        <v>145</v>
      </c>
      <c r="G139" t="s">
        <v>84</v>
      </c>
      <c r="H139" t="s">
        <v>1</v>
      </c>
      <c r="I139" t="s">
        <v>350</v>
      </c>
      <c r="J139">
        <v>719</v>
      </c>
      <c r="K139" t="s">
        <v>86</v>
      </c>
    </row>
    <row r="140" spans="1:11" x14ac:dyDescent="0.55000000000000004">
      <c r="A140" t="s">
        <v>351</v>
      </c>
      <c r="B140" t="s">
        <v>351</v>
      </c>
      <c r="C140" t="s">
        <v>313</v>
      </c>
      <c r="E140" t="s">
        <v>277</v>
      </c>
      <c r="F140" t="s">
        <v>145</v>
      </c>
      <c r="G140" t="s">
        <v>84</v>
      </c>
      <c r="H140" t="s">
        <v>1</v>
      </c>
      <c r="I140" t="s">
        <v>352</v>
      </c>
      <c r="J140">
        <v>715</v>
      </c>
      <c r="K140" t="s">
        <v>86</v>
      </c>
    </row>
    <row r="141" spans="1:11" x14ac:dyDescent="0.55000000000000004">
      <c r="A141" t="s">
        <v>353</v>
      </c>
      <c r="B141" t="s">
        <v>351</v>
      </c>
      <c r="C141" t="s">
        <v>313</v>
      </c>
      <c r="E141" t="s">
        <v>277</v>
      </c>
      <c r="F141" t="s">
        <v>145</v>
      </c>
      <c r="G141" t="s">
        <v>84</v>
      </c>
      <c r="H141" t="s">
        <v>1</v>
      </c>
      <c r="I141" t="s">
        <v>354</v>
      </c>
      <c r="J141">
        <v>716</v>
      </c>
      <c r="K141" t="s">
        <v>86</v>
      </c>
    </row>
    <row r="142" spans="1:11" x14ac:dyDescent="0.55000000000000004">
      <c r="A142" t="s">
        <v>355</v>
      </c>
      <c r="B142" t="s">
        <v>351</v>
      </c>
      <c r="C142" t="s">
        <v>313</v>
      </c>
      <c r="E142" t="s">
        <v>277</v>
      </c>
      <c r="F142" t="s">
        <v>145</v>
      </c>
      <c r="G142" t="s">
        <v>84</v>
      </c>
      <c r="H142" t="s">
        <v>1</v>
      </c>
      <c r="I142" t="s">
        <v>356</v>
      </c>
      <c r="J142">
        <v>717</v>
      </c>
      <c r="K142" t="s">
        <v>86</v>
      </c>
    </row>
    <row r="143" spans="1:11" x14ac:dyDescent="0.55000000000000004">
      <c r="A143" t="s">
        <v>357</v>
      </c>
      <c r="B143" t="s">
        <v>351</v>
      </c>
      <c r="C143" t="s">
        <v>313</v>
      </c>
      <c r="E143" t="s">
        <v>277</v>
      </c>
      <c r="F143" t="s">
        <v>145</v>
      </c>
      <c r="G143" t="s">
        <v>84</v>
      </c>
      <c r="H143" t="s">
        <v>1</v>
      </c>
      <c r="I143" t="s">
        <v>350</v>
      </c>
      <c r="J143">
        <v>718</v>
      </c>
      <c r="K143" t="s">
        <v>86</v>
      </c>
    </row>
    <row r="144" spans="1:11" x14ac:dyDescent="0.55000000000000004">
      <c r="A144" t="s">
        <v>358</v>
      </c>
      <c r="B144" t="s">
        <v>358</v>
      </c>
      <c r="C144" t="s">
        <v>313</v>
      </c>
      <c r="E144" t="s">
        <v>277</v>
      </c>
      <c r="F144" t="s">
        <v>145</v>
      </c>
      <c r="G144" t="s">
        <v>84</v>
      </c>
      <c r="H144" t="s">
        <v>105</v>
      </c>
      <c r="I144" t="s">
        <v>359</v>
      </c>
      <c r="J144">
        <v>720</v>
      </c>
      <c r="K144" t="s">
        <v>86</v>
      </c>
    </row>
    <row r="145" spans="1:11" x14ac:dyDescent="0.55000000000000004">
      <c r="A145" t="s">
        <v>360</v>
      </c>
      <c r="B145" t="s">
        <v>360</v>
      </c>
      <c r="C145" t="s">
        <v>313</v>
      </c>
      <c r="E145" t="s">
        <v>277</v>
      </c>
      <c r="F145" t="s">
        <v>145</v>
      </c>
      <c r="G145" t="s">
        <v>84</v>
      </c>
      <c r="H145" t="s">
        <v>1</v>
      </c>
      <c r="I145" t="s">
        <v>213</v>
      </c>
      <c r="J145">
        <v>721</v>
      </c>
      <c r="K145" t="s">
        <v>86</v>
      </c>
    </row>
    <row r="146" spans="1:11" x14ac:dyDescent="0.55000000000000004">
      <c r="A146" t="s">
        <v>361</v>
      </c>
      <c r="B146" t="s">
        <v>360</v>
      </c>
      <c r="C146" t="s">
        <v>313</v>
      </c>
      <c r="E146" t="s">
        <v>277</v>
      </c>
      <c r="F146" t="s">
        <v>145</v>
      </c>
      <c r="G146" t="s">
        <v>84</v>
      </c>
      <c r="H146" t="s">
        <v>1</v>
      </c>
      <c r="I146" t="s">
        <v>217</v>
      </c>
      <c r="J146">
        <v>722</v>
      </c>
      <c r="K146" t="s">
        <v>86</v>
      </c>
    </row>
    <row r="147" spans="1:11" x14ac:dyDescent="0.55000000000000004">
      <c r="A147" t="s">
        <v>61</v>
      </c>
      <c r="B147" t="s">
        <v>61</v>
      </c>
      <c r="C147" t="s">
        <v>313</v>
      </c>
      <c r="E147" t="s">
        <v>277</v>
      </c>
      <c r="F147" t="s">
        <v>145</v>
      </c>
      <c r="G147" t="s">
        <v>84</v>
      </c>
      <c r="H147" t="s">
        <v>105</v>
      </c>
      <c r="I147" t="s">
        <v>362</v>
      </c>
      <c r="J147">
        <v>723</v>
      </c>
      <c r="K147" t="s">
        <v>86</v>
      </c>
    </row>
    <row r="148" spans="1:11" x14ac:dyDescent="0.55000000000000004">
      <c r="A148" t="s">
        <v>363</v>
      </c>
      <c r="B148" t="s">
        <v>363</v>
      </c>
      <c r="C148" t="s">
        <v>313</v>
      </c>
      <c r="E148" t="s">
        <v>277</v>
      </c>
      <c r="F148" t="s">
        <v>145</v>
      </c>
      <c r="G148" t="s">
        <v>84</v>
      </c>
      <c r="H148" t="s">
        <v>364</v>
      </c>
      <c r="I148" t="s">
        <v>243</v>
      </c>
      <c r="J148">
        <v>724</v>
      </c>
      <c r="K148" t="s">
        <v>86</v>
      </c>
    </row>
    <row r="149" spans="1:11" x14ac:dyDescent="0.55000000000000004">
      <c r="A149" t="s">
        <v>63</v>
      </c>
      <c r="B149" t="s">
        <v>63</v>
      </c>
      <c r="C149" t="s">
        <v>313</v>
      </c>
      <c r="E149" t="s">
        <v>277</v>
      </c>
      <c r="F149" t="s">
        <v>145</v>
      </c>
      <c r="G149" t="s">
        <v>84</v>
      </c>
      <c r="H149" t="s">
        <v>105</v>
      </c>
      <c r="I149" t="s">
        <v>213</v>
      </c>
      <c r="J149">
        <v>725</v>
      </c>
      <c r="K149" t="s">
        <v>86</v>
      </c>
    </row>
    <row r="150" spans="1:11" x14ac:dyDescent="0.55000000000000004">
      <c r="A150" t="s">
        <v>365</v>
      </c>
      <c r="B150" t="s">
        <v>63</v>
      </c>
      <c r="C150" t="s">
        <v>313</v>
      </c>
      <c r="E150" t="s">
        <v>277</v>
      </c>
      <c r="F150" t="s">
        <v>8</v>
      </c>
      <c r="G150" t="s">
        <v>92</v>
      </c>
      <c r="H150" t="s">
        <v>105</v>
      </c>
      <c r="K150" t="s">
        <v>86</v>
      </c>
    </row>
    <row r="151" spans="1:11" x14ac:dyDescent="0.55000000000000004">
      <c r="A151" t="s">
        <v>366</v>
      </c>
      <c r="B151" t="s">
        <v>367</v>
      </c>
      <c r="C151" t="s">
        <v>313</v>
      </c>
      <c r="E151" t="s">
        <v>277</v>
      </c>
      <c r="F151" t="s">
        <v>145</v>
      </c>
      <c r="G151" t="s">
        <v>84</v>
      </c>
      <c r="H151" t="s">
        <v>105</v>
      </c>
      <c r="I151" t="s">
        <v>368</v>
      </c>
      <c r="J151">
        <v>728</v>
      </c>
      <c r="K151" t="s">
        <v>86</v>
      </c>
    </row>
    <row r="152" spans="1:11" x14ac:dyDescent="0.55000000000000004">
      <c r="A152" t="s">
        <v>367</v>
      </c>
      <c r="B152" t="s">
        <v>367</v>
      </c>
      <c r="C152" t="s">
        <v>313</v>
      </c>
      <c r="E152" t="s">
        <v>277</v>
      </c>
      <c r="F152" t="s">
        <v>145</v>
      </c>
      <c r="G152" t="s">
        <v>84</v>
      </c>
      <c r="H152" t="s">
        <v>105</v>
      </c>
      <c r="I152" t="s">
        <v>369</v>
      </c>
      <c r="J152">
        <v>729</v>
      </c>
      <c r="K152" t="s">
        <v>86</v>
      </c>
    </row>
    <row r="153" spans="1:11" x14ac:dyDescent="0.55000000000000004">
      <c r="A153" t="s">
        <v>370</v>
      </c>
      <c r="B153" t="s">
        <v>312</v>
      </c>
      <c r="C153" t="s">
        <v>313</v>
      </c>
      <c r="E153" t="s">
        <v>277</v>
      </c>
      <c r="F153" t="s">
        <v>145</v>
      </c>
      <c r="G153" t="s">
        <v>84</v>
      </c>
      <c r="H153" t="s">
        <v>105</v>
      </c>
      <c r="I153" t="s">
        <v>170</v>
      </c>
      <c r="J153">
        <v>726</v>
      </c>
      <c r="K153" t="s">
        <v>86</v>
      </c>
    </row>
    <row r="154" spans="1:11" x14ac:dyDescent="0.55000000000000004">
      <c r="A154" t="s">
        <v>371</v>
      </c>
      <c r="B154" t="s">
        <v>312</v>
      </c>
      <c r="C154" t="s">
        <v>313</v>
      </c>
      <c r="E154" t="s">
        <v>277</v>
      </c>
      <c r="F154" t="s">
        <v>145</v>
      </c>
      <c r="G154" t="s">
        <v>84</v>
      </c>
      <c r="H154" t="s">
        <v>105</v>
      </c>
      <c r="I154" t="s">
        <v>372</v>
      </c>
      <c r="J154">
        <v>730</v>
      </c>
      <c r="K154" t="s">
        <v>86</v>
      </c>
    </row>
    <row r="155" spans="1:11" x14ac:dyDescent="0.55000000000000004">
      <c r="A155" t="s">
        <v>373</v>
      </c>
      <c r="B155" t="s">
        <v>312</v>
      </c>
      <c r="C155" t="s">
        <v>313</v>
      </c>
      <c r="E155" t="s">
        <v>277</v>
      </c>
      <c r="F155" t="s">
        <v>145</v>
      </c>
      <c r="G155" t="s">
        <v>84</v>
      </c>
      <c r="H155" t="s">
        <v>105</v>
      </c>
      <c r="I155" t="s">
        <v>374</v>
      </c>
      <c r="J155">
        <v>731</v>
      </c>
      <c r="K155" t="s">
        <v>86</v>
      </c>
    </row>
    <row r="156" spans="1:11" x14ac:dyDescent="0.55000000000000004">
      <c r="A156" t="s">
        <v>375</v>
      </c>
      <c r="B156" t="s">
        <v>312</v>
      </c>
      <c r="C156" t="s">
        <v>313</v>
      </c>
      <c r="E156" t="s">
        <v>277</v>
      </c>
      <c r="F156" t="s">
        <v>145</v>
      </c>
      <c r="G156" t="s">
        <v>84</v>
      </c>
      <c r="H156" t="s">
        <v>105</v>
      </c>
      <c r="I156" t="s">
        <v>376</v>
      </c>
      <c r="J156">
        <v>732</v>
      </c>
      <c r="K156" t="s">
        <v>86</v>
      </c>
    </row>
    <row r="157" spans="1:11" x14ac:dyDescent="0.55000000000000004">
      <c r="A157" t="s">
        <v>62</v>
      </c>
      <c r="B157" t="s">
        <v>312</v>
      </c>
      <c r="C157" t="s">
        <v>313</v>
      </c>
      <c r="E157" t="s">
        <v>277</v>
      </c>
      <c r="F157" t="s">
        <v>8</v>
      </c>
      <c r="G157" t="s">
        <v>84</v>
      </c>
      <c r="H157" t="s">
        <v>105</v>
      </c>
      <c r="I157" t="s">
        <v>377</v>
      </c>
      <c r="J157">
        <v>735</v>
      </c>
      <c r="K157" t="s">
        <v>86</v>
      </c>
    </row>
    <row r="158" spans="1:11" x14ac:dyDescent="0.55000000000000004">
      <c r="A158" t="s">
        <v>378</v>
      </c>
      <c r="B158" t="s">
        <v>312</v>
      </c>
      <c r="C158" t="s">
        <v>313</v>
      </c>
      <c r="E158" t="s">
        <v>277</v>
      </c>
      <c r="F158" t="s">
        <v>83</v>
      </c>
      <c r="G158" t="s">
        <v>84</v>
      </c>
      <c r="H158" t="s">
        <v>105</v>
      </c>
      <c r="I158" t="s">
        <v>379</v>
      </c>
      <c r="J158">
        <v>737</v>
      </c>
      <c r="K158" t="s">
        <v>86</v>
      </c>
    </row>
    <row r="159" spans="1:11" x14ac:dyDescent="0.55000000000000004">
      <c r="A159" t="s">
        <v>380</v>
      </c>
      <c r="B159" t="s">
        <v>381</v>
      </c>
      <c r="C159" t="s">
        <v>313</v>
      </c>
      <c r="E159" t="s">
        <v>277</v>
      </c>
      <c r="F159" t="s">
        <v>145</v>
      </c>
      <c r="G159" t="s">
        <v>84</v>
      </c>
      <c r="H159" t="s">
        <v>282</v>
      </c>
      <c r="I159" t="s">
        <v>382</v>
      </c>
      <c r="J159">
        <v>740</v>
      </c>
      <c r="K159" t="s">
        <v>86</v>
      </c>
    </row>
    <row r="160" spans="1:11" x14ac:dyDescent="0.55000000000000004">
      <c r="A160" t="s">
        <v>24</v>
      </c>
      <c r="B160" t="s">
        <v>312</v>
      </c>
      <c r="C160" t="s">
        <v>313</v>
      </c>
      <c r="E160" t="s">
        <v>277</v>
      </c>
      <c r="F160" t="s">
        <v>83</v>
      </c>
      <c r="G160" t="s">
        <v>84</v>
      </c>
      <c r="H160" t="s">
        <v>105</v>
      </c>
      <c r="I160" t="s">
        <v>383</v>
      </c>
      <c r="J160">
        <v>739</v>
      </c>
      <c r="K160" t="s">
        <v>86</v>
      </c>
    </row>
    <row r="161" spans="1:11" x14ac:dyDescent="0.55000000000000004">
      <c r="A161" t="s">
        <v>384</v>
      </c>
      <c r="B161" t="s">
        <v>381</v>
      </c>
      <c r="C161" t="s">
        <v>313</v>
      </c>
      <c r="E161" t="s">
        <v>277</v>
      </c>
      <c r="F161" t="s">
        <v>145</v>
      </c>
      <c r="G161" t="s">
        <v>84</v>
      </c>
      <c r="H161" t="s">
        <v>105</v>
      </c>
      <c r="I161" t="s">
        <v>385</v>
      </c>
      <c r="J161">
        <v>750</v>
      </c>
      <c r="K161" t="s">
        <v>86</v>
      </c>
    </row>
    <row r="162" spans="1:11" x14ac:dyDescent="0.55000000000000004">
      <c r="A162" t="s">
        <v>386</v>
      </c>
      <c r="B162" t="s">
        <v>312</v>
      </c>
      <c r="C162" t="s">
        <v>313</v>
      </c>
      <c r="E162" t="s">
        <v>277</v>
      </c>
      <c r="F162" t="s">
        <v>8</v>
      </c>
      <c r="G162" t="s">
        <v>92</v>
      </c>
      <c r="H162" t="s">
        <v>105</v>
      </c>
      <c r="K162" t="s">
        <v>86</v>
      </c>
    </row>
    <row r="163" spans="1:11" x14ac:dyDescent="0.55000000000000004">
      <c r="A163" t="s">
        <v>381</v>
      </c>
      <c r="B163" t="s">
        <v>381</v>
      </c>
      <c r="C163" t="s">
        <v>313</v>
      </c>
      <c r="E163" t="s">
        <v>277</v>
      </c>
      <c r="F163" t="s">
        <v>145</v>
      </c>
      <c r="G163" t="s">
        <v>84</v>
      </c>
      <c r="H163" t="s">
        <v>105</v>
      </c>
      <c r="I163" t="s">
        <v>387</v>
      </c>
      <c r="J163">
        <v>760</v>
      </c>
      <c r="K163" t="s">
        <v>86</v>
      </c>
    </row>
    <row r="164" spans="1:11" x14ac:dyDescent="0.55000000000000004">
      <c r="A164" t="s">
        <v>388</v>
      </c>
      <c r="B164" t="s">
        <v>388</v>
      </c>
      <c r="C164" t="s">
        <v>389</v>
      </c>
      <c r="E164" t="s">
        <v>277</v>
      </c>
      <c r="F164" t="s">
        <v>145</v>
      </c>
      <c r="G164" t="s">
        <v>84</v>
      </c>
      <c r="H164" t="s">
        <v>1</v>
      </c>
      <c r="I164" t="s">
        <v>243</v>
      </c>
      <c r="J164">
        <v>800</v>
      </c>
      <c r="K164" t="s">
        <v>86</v>
      </c>
    </row>
    <row r="165" spans="1:11" x14ac:dyDescent="0.55000000000000004">
      <c r="A165" t="s">
        <v>390</v>
      </c>
      <c r="B165" t="s">
        <v>390</v>
      </c>
      <c r="C165" t="s">
        <v>391</v>
      </c>
      <c r="E165" t="s">
        <v>277</v>
      </c>
      <c r="F165" t="s">
        <v>145</v>
      </c>
      <c r="G165" t="s">
        <v>84</v>
      </c>
      <c r="H165" t="s">
        <v>1</v>
      </c>
      <c r="I165" t="s">
        <v>392</v>
      </c>
      <c r="J165">
        <v>810</v>
      </c>
      <c r="K165" t="s">
        <v>86</v>
      </c>
    </row>
    <row r="166" spans="1:11" x14ac:dyDescent="0.55000000000000004">
      <c r="A166" t="s">
        <v>393</v>
      </c>
      <c r="B166" t="s">
        <v>393</v>
      </c>
      <c r="C166" t="s">
        <v>391</v>
      </c>
      <c r="E166" t="s">
        <v>277</v>
      </c>
      <c r="F166" t="s">
        <v>145</v>
      </c>
      <c r="G166" t="s">
        <v>84</v>
      </c>
      <c r="H166" t="s">
        <v>1</v>
      </c>
      <c r="I166" t="s">
        <v>243</v>
      </c>
      <c r="J166">
        <v>811</v>
      </c>
      <c r="K166" t="s">
        <v>86</v>
      </c>
    </row>
  </sheetData>
  <phoneticPr fontId="18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代行会社現預金</vt:lpstr>
      <vt:lpstr>freee勘定科目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大仁皓平</cp:lastModifiedBy>
  <dcterms:created xsi:type="dcterms:W3CDTF">2024-09-29T21:26:58Z</dcterms:created>
  <dcterms:modified xsi:type="dcterms:W3CDTF">2026-02-07T15:45:25Z</dcterms:modified>
</cp:coreProperties>
</file>