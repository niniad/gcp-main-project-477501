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マイドライブ\仕事\data\"/>
    </mc:Choice>
  </mc:AlternateContent>
  <xr:revisionPtr revIDLastSave="0" documentId="13_ncr:1_{DD8E55A5-E295-4CA4-A6DD-7F3380F4C84A}" xr6:coauthVersionLast="47" xr6:coauthVersionMax="47" xr10:uidLastSave="{00000000-0000-0000-0000-000000000000}"/>
  <bookViews>
    <workbookView xWindow="-110" yWindow="-110" windowWidth="38620" windowHeight="21100" firstSheet="1" activeTab="2" xr2:uid="{15D8A8AA-4943-4BDF-852D-3EDBE8776E42}"/>
  </bookViews>
  <sheets>
    <sheet name="freee勘定科目" sheetId="14" r:id="rId1"/>
    <sheet name="freee支出取引サンプル" sheetId="12" r:id="rId2"/>
    <sheet name="代行会社現預金" sheetId="13" r:id="rId3"/>
    <sheet name="YP" sheetId="7" r:id="rId4"/>
    <sheet name="直行便" sheetId="4" r:id="rId5"/>
    <sheet name="Claude Log" sheetId="9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8" i="13" l="1"/>
  <c r="G142" i="13"/>
  <c r="G135" i="13"/>
  <c r="G110" i="13"/>
  <c r="G106" i="13"/>
  <c r="T155" i="13"/>
  <c r="I156" i="13"/>
  <c r="M156" i="13"/>
  <c r="G166" i="13"/>
  <c r="G167" i="13" s="1"/>
  <c r="G161" i="13"/>
  <c r="G162" i="13" s="1"/>
  <c r="I154" i="13"/>
  <c r="I157" i="13"/>
  <c r="I158" i="13"/>
  <c r="I159" i="13"/>
  <c r="I160" i="13"/>
  <c r="I161" i="13"/>
  <c r="I163" i="13"/>
  <c r="I164" i="13"/>
  <c r="I165" i="13"/>
  <c r="I166" i="13"/>
  <c r="M154" i="13"/>
  <c r="M157" i="13"/>
  <c r="M158" i="13"/>
  <c r="M159" i="13"/>
  <c r="M160" i="13"/>
  <c r="M161" i="13"/>
  <c r="M163" i="13"/>
  <c r="M164" i="13"/>
  <c r="M165" i="13"/>
  <c r="M166" i="13"/>
  <c r="G149" i="13"/>
  <c r="G143" i="13"/>
  <c r="G136" i="13"/>
  <c r="G107" i="13"/>
  <c r="M149" i="13"/>
  <c r="M148" i="13"/>
  <c r="G111" i="13"/>
  <c r="G96" i="13"/>
  <c r="G69" i="13"/>
  <c r="M69" i="13" s="1"/>
  <c r="G2" i="13"/>
  <c r="G56" i="13"/>
  <c r="I4" i="13"/>
  <c r="T74" i="13"/>
  <c r="H4" i="4" a="1"/>
  <c r="H4" i="4" s="1"/>
  <c r="H3" i="4" a="1"/>
  <c r="H3" i="4" s="1"/>
  <c r="H54" i="7" a="1"/>
  <c r="H54" i="7" s="1"/>
  <c r="H53" i="7" a="1"/>
  <c r="H53" i="7" s="1"/>
  <c r="H52" i="7" a="1"/>
  <c r="H52" i="7" s="1"/>
  <c r="H51" i="7" a="1"/>
  <c r="H51" i="7" s="1"/>
  <c r="H50" i="7" a="1"/>
  <c r="H50" i="7" s="1"/>
  <c r="H49" i="7" a="1"/>
  <c r="H49" i="7" s="1"/>
  <c r="H48" i="7" a="1"/>
  <c r="H48" i="7" s="1"/>
  <c r="H47" i="7" a="1"/>
  <c r="H47" i="7" s="1"/>
  <c r="H46" i="7" a="1"/>
  <c r="H46" i="7" s="1"/>
  <c r="H45" i="7" a="1"/>
  <c r="H45" i="7" s="1"/>
  <c r="H44" i="7" a="1"/>
  <c r="H44" i="7" s="1"/>
  <c r="H43" i="7" a="1"/>
  <c r="H43" i="7" s="1"/>
  <c r="H42" i="7" a="1"/>
  <c r="H42" i="7" s="1"/>
  <c r="H41" i="7" a="1"/>
  <c r="H41" i="7" s="1"/>
  <c r="K41" i="7" s="1"/>
  <c r="H40" i="7" a="1"/>
  <c r="H40" i="7" s="1"/>
  <c r="H39" i="7" a="1"/>
  <c r="H39" i="7" s="1"/>
  <c r="H38" i="7" a="1"/>
  <c r="H38" i="7" s="1"/>
  <c r="H37" i="7" a="1"/>
  <c r="H37" i="7" s="1"/>
  <c r="H36" i="7" a="1"/>
  <c r="H36" i="7" s="1"/>
  <c r="H35" i="7" a="1"/>
  <c r="H35" i="7" s="1"/>
  <c r="H34" i="7" a="1"/>
  <c r="H34" i="7" s="1"/>
  <c r="H33" i="7" a="1"/>
  <c r="H33" i="7" s="1"/>
  <c r="H32" i="7" a="1"/>
  <c r="H32" i="7" s="1"/>
  <c r="H31" i="7" a="1"/>
  <c r="H31" i="7" s="1"/>
  <c r="H30" i="7" a="1"/>
  <c r="H30" i="7" s="1"/>
  <c r="H29" i="7" a="1"/>
  <c r="H29" i="7" s="1"/>
  <c r="H28" i="7" a="1"/>
  <c r="H28" i="7" s="1"/>
  <c r="H27" i="7" a="1"/>
  <c r="H27" i="7" s="1"/>
  <c r="H26" i="7" a="1"/>
  <c r="H26" i="7" s="1"/>
  <c r="H25" i="7" a="1"/>
  <c r="H25" i="7" s="1"/>
  <c r="H24" i="7" a="1"/>
  <c r="H24" i="7" s="1"/>
  <c r="H23" i="7" a="1"/>
  <c r="H23" i="7" s="1"/>
  <c r="H22" i="7" a="1"/>
  <c r="H22" i="7" s="1"/>
  <c r="H21" i="7" a="1"/>
  <c r="H21" i="7" s="1"/>
  <c r="H20" i="7" a="1"/>
  <c r="H20" i="7" s="1"/>
  <c r="H19" i="7" a="1"/>
  <c r="H19" i="7" s="1"/>
  <c r="H18" i="7" a="1"/>
  <c r="H18" i="7" s="1"/>
  <c r="H17" i="7" a="1"/>
  <c r="H17" i="7" s="1"/>
  <c r="H16" i="7" a="1"/>
  <c r="H16" i="7" s="1"/>
  <c r="H15" i="7" a="1"/>
  <c r="H15" i="7" s="1"/>
  <c r="H14" i="7" a="1"/>
  <c r="H14" i="7" s="1"/>
  <c r="H13" i="7" a="1"/>
  <c r="H13" i="7" s="1"/>
  <c r="H12" i="7" a="1"/>
  <c r="H12" i="7" s="1"/>
  <c r="H11" i="7" a="1"/>
  <c r="H11" i="7" s="1"/>
  <c r="H10" i="7" a="1"/>
  <c r="H10" i="7" s="1"/>
  <c r="H9" i="7" a="1"/>
  <c r="H9" i="7" s="1"/>
  <c r="H8" i="7" a="1"/>
  <c r="H8" i="7" s="1"/>
  <c r="H7" i="7" a="1"/>
  <c r="H7" i="7" s="1"/>
  <c r="H6" i="7" a="1"/>
  <c r="H6" i="7" s="1"/>
  <c r="H5" i="7" a="1"/>
  <c r="H5" i="7" s="1"/>
  <c r="H4" i="7" a="1"/>
  <c r="H4" i="7" s="1"/>
  <c r="H3" i="7" a="1"/>
  <c r="H3" i="7" s="1"/>
  <c r="H2" i="4" a="1"/>
  <c r="H2" i="4" s="1"/>
  <c r="H2" i="7" a="1"/>
  <c r="H2" i="7" s="1"/>
  <c r="F53" i="7"/>
  <c r="F46" i="7"/>
  <c r="G2" i="7"/>
  <c r="G3" i="7" s="1"/>
  <c r="G4" i="7" s="1"/>
  <c r="G5" i="7" s="1"/>
  <c r="G6" i="7" s="1"/>
  <c r="G7" i="7" s="1"/>
  <c r="G8" i="7" s="1"/>
  <c r="G9" i="7" s="1"/>
  <c r="G10" i="7" s="1"/>
  <c r="G11" i="7" s="1"/>
  <c r="G12" i="7" s="1"/>
  <c r="G13" i="7" s="1"/>
  <c r="G14" i="7" s="1"/>
  <c r="G15" i="7" s="1"/>
  <c r="G16" i="7" s="1"/>
  <c r="G17" i="7" s="1"/>
  <c r="G18" i="7" s="1"/>
  <c r="G19" i="7" s="1"/>
  <c r="G20" i="7" s="1"/>
  <c r="G21" i="7" s="1"/>
  <c r="G22" i="7" s="1"/>
  <c r="G23" i="7" s="1"/>
  <c r="G24" i="7" s="1"/>
  <c r="G25" i="7" s="1"/>
  <c r="G26" i="7" s="1"/>
  <c r="G27" i="7" s="1"/>
  <c r="G28" i="7" s="1"/>
  <c r="G29" i="7" s="1"/>
  <c r="G30" i="7" s="1"/>
  <c r="G31" i="7" s="1"/>
  <c r="G32" i="7" s="1"/>
  <c r="G33" i="7" s="1"/>
  <c r="G34" i="7" s="1"/>
  <c r="G35" i="7" s="1"/>
  <c r="G36" i="7" s="1"/>
  <c r="G37" i="7" s="1"/>
  <c r="G38" i="7" s="1"/>
  <c r="G39" i="7" s="1"/>
  <c r="G40" i="7" s="1"/>
  <c r="G41" i="7" s="1"/>
  <c r="G42" i="7" s="1"/>
  <c r="G43" i="7" s="1"/>
  <c r="G44" i="7" s="1"/>
  <c r="G45" i="7" s="1"/>
  <c r="G46" i="7" s="1"/>
  <c r="G47" i="7" s="1"/>
  <c r="G48" i="7" s="1"/>
  <c r="G49" i="7" s="1"/>
  <c r="G50" i="7" s="1"/>
  <c r="G51" i="7" s="1"/>
  <c r="G52" i="7" s="1"/>
  <c r="G53" i="7" s="1"/>
  <c r="G54" i="7" s="1"/>
  <c r="F2" i="7"/>
  <c r="F4" i="4"/>
  <c r="F3" i="4"/>
  <c r="F2" i="4"/>
  <c r="M167" i="13" l="1"/>
  <c r="I167" i="13"/>
  <c r="M162" i="13"/>
  <c r="I162" i="13"/>
  <c r="M2" i="13"/>
  <c r="G97" i="13"/>
  <c r="G57" i="13"/>
  <c r="N155" i="13" s="1" a="1"/>
  <c r="N155" i="13" s="1"/>
  <c r="P155" i="13" s="1"/>
  <c r="M56" i="13"/>
  <c r="I149" i="13"/>
  <c r="M143" i="13"/>
  <c r="I143" i="13"/>
  <c r="M136" i="13"/>
  <c r="I136" i="13"/>
  <c r="I111" i="13"/>
  <c r="I107" i="13"/>
  <c r="I97" i="13"/>
  <c r="I81" i="13"/>
  <c r="G70" i="13"/>
  <c r="I69" i="13"/>
  <c r="M153" i="13"/>
  <c r="M112" i="13"/>
  <c r="M113" i="13"/>
  <c r="M114" i="13"/>
  <c r="M115" i="13"/>
  <c r="M116" i="13"/>
  <c r="M117" i="13"/>
  <c r="M118" i="13"/>
  <c r="M119" i="13"/>
  <c r="M120" i="13"/>
  <c r="M121" i="13"/>
  <c r="M122" i="13"/>
  <c r="M123" i="13"/>
  <c r="M124" i="13"/>
  <c r="M125" i="13"/>
  <c r="M126" i="13"/>
  <c r="M127" i="13"/>
  <c r="M128" i="13"/>
  <c r="M129" i="13"/>
  <c r="M130" i="13"/>
  <c r="M131" i="13"/>
  <c r="M132" i="13"/>
  <c r="M133" i="13"/>
  <c r="M134" i="13"/>
  <c r="M135" i="13"/>
  <c r="M137" i="13"/>
  <c r="M138" i="13"/>
  <c r="M139" i="13"/>
  <c r="M140" i="13"/>
  <c r="M141" i="13"/>
  <c r="M142" i="13"/>
  <c r="M144" i="13"/>
  <c r="M145" i="13"/>
  <c r="M146" i="13"/>
  <c r="M147" i="13"/>
  <c r="M150" i="13"/>
  <c r="M151" i="13"/>
  <c r="M152" i="13"/>
  <c r="I57" i="13"/>
  <c r="I38" i="13"/>
  <c r="I33" i="13"/>
  <c r="I29" i="13"/>
  <c r="I2" i="13"/>
  <c r="I153" i="13"/>
  <c r="I3" i="13"/>
  <c r="I5" i="13"/>
  <c r="I13" i="13"/>
  <c r="I6" i="13"/>
  <c r="I7" i="13"/>
  <c r="I8" i="13"/>
  <c r="I9" i="13"/>
  <c r="I10" i="13"/>
  <c r="I11" i="13"/>
  <c r="I12" i="13"/>
  <c r="I14" i="13"/>
  <c r="I15" i="13"/>
  <c r="I16" i="13"/>
  <c r="I17" i="13"/>
  <c r="I19" i="13"/>
  <c r="I20" i="13"/>
  <c r="I21" i="13"/>
  <c r="I22" i="13"/>
  <c r="I23" i="13"/>
  <c r="I24" i="13"/>
  <c r="I25" i="13"/>
  <c r="I26" i="13"/>
  <c r="I27" i="13"/>
  <c r="I28" i="13"/>
  <c r="I30" i="13"/>
  <c r="I31" i="13"/>
  <c r="I32" i="13"/>
  <c r="I34" i="13"/>
  <c r="I35" i="13"/>
  <c r="I36" i="13"/>
  <c r="I37" i="13"/>
  <c r="I39" i="13"/>
  <c r="I40" i="13"/>
  <c r="I41" i="13"/>
  <c r="I42" i="13"/>
  <c r="I43" i="13"/>
  <c r="I44" i="13"/>
  <c r="I45" i="13"/>
  <c r="I46" i="13"/>
  <c r="I47" i="13"/>
  <c r="I49" i="13"/>
  <c r="I50" i="13"/>
  <c r="I48" i="13"/>
  <c r="I52" i="13"/>
  <c r="I53" i="13"/>
  <c r="I54" i="13"/>
  <c r="I55" i="13"/>
  <c r="I56" i="13"/>
  <c r="I58" i="13"/>
  <c r="I59" i="13"/>
  <c r="I51" i="13"/>
  <c r="I60" i="13"/>
  <c r="I61" i="13"/>
  <c r="I62" i="13"/>
  <c r="I63" i="13"/>
  <c r="I64" i="13"/>
  <c r="I65" i="13"/>
  <c r="I66" i="13"/>
  <c r="I67" i="13"/>
  <c r="I68" i="13"/>
  <c r="I71" i="13"/>
  <c r="I72" i="13"/>
  <c r="I73" i="13"/>
  <c r="I75" i="13"/>
  <c r="I76" i="13"/>
  <c r="I77" i="13"/>
  <c r="I78" i="13"/>
  <c r="I79" i="13"/>
  <c r="I80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8" i="13"/>
  <c r="I99" i="13"/>
  <c r="I100" i="13"/>
  <c r="I101" i="13"/>
  <c r="I102" i="13"/>
  <c r="I103" i="13"/>
  <c r="I104" i="13"/>
  <c r="I105" i="13"/>
  <c r="I106" i="13"/>
  <c r="I108" i="13"/>
  <c r="I109" i="13"/>
  <c r="I110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7" i="13"/>
  <c r="I138" i="13"/>
  <c r="I139" i="13"/>
  <c r="I140" i="13"/>
  <c r="I141" i="13"/>
  <c r="I142" i="13"/>
  <c r="I144" i="13"/>
  <c r="I145" i="13"/>
  <c r="I146" i="13"/>
  <c r="I147" i="13"/>
  <c r="I148" i="13"/>
  <c r="I150" i="13"/>
  <c r="I151" i="13"/>
  <c r="I152" i="13"/>
  <c r="I3" i="4"/>
  <c r="I4" i="4"/>
  <c r="K13" i="7"/>
  <c r="I13" i="7"/>
  <c r="M13" i="7"/>
  <c r="M27" i="7"/>
  <c r="I27" i="7"/>
  <c r="K27" i="7"/>
  <c r="M54" i="7"/>
  <c r="K54" i="7"/>
  <c r="I54" i="7"/>
  <c r="M53" i="7"/>
  <c r="I53" i="7"/>
  <c r="K53" i="7"/>
  <c r="I52" i="7"/>
  <c r="M52" i="7"/>
  <c r="K52" i="7"/>
  <c r="I51" i="7"/>
  <c r="M51" i="7"/>
  <c r="K51" i="7"/>
  <c r="I50" i="7"/>
  <c r="K50" i="7"/>
  <c r="M50" i="7"/>
  <c r="I49" i="7"/>
  <c r="K49" i="7"/>
  <c r="M49" i="7"/>
  <c r="I48" i="7"/>
  <c r="K48" i="7"/>
  <c r="M48" i="7"/>
  <c r="I47" i="7"/>
  <c r="K47" i="7"/>
  <c r="M47" i="7"/>
  <c r="I46" i="7"/>
  <c r="M46" i="7"/>
  <c r="K46" i="7"/>
  <c r="I45" i="7"/>
  <c r="M45" i="7"/>
  <c r="K45" i="7"/>
  <c r="M44" i="7"/>
  <c r="K44" i="7"/>
  <c r="I44" i="7"/>
  <c r="M43" i="7"/>
  <c r="I43" i="7"/>
  <c r="K43" i="7"/>
  <c r="M42" i="7"/>
  <c r="K42" i="7"/>
  <c r="I42" i="7"/>
  <c r="I41" i="7"/>
  <c r="M41" i="7"/>
  <c r="M40" i="7"/>
  <c r="I40" i="7"/>
  <c r="K40" i="7"/>
  <c r="M39" i="7"/>
  <c r="I39" i="7"/>
  <c r="K39" i="7"/>
  <c r="K38" i="7"/>
  <c r="M38" i="7"/>
  <c r="I38" i="7"/>
  <c r="I37" i="7"/>
  <c r="K37" i="7"/>
  <c r="M37" i="7"/>
  <c r="I36" i="7"/>
  <c r="M36" i="7"/>
  <c r="K36" i="7"/>
  <c r="I35" i="7"/>
  <c r="M35" i="7"/>
  <c r="K35" i="7"/>
  <c r="K34" i="7"/>
  <c r="I34" i="7"/>
  <c r="M34" i="7"/>
  <c r="I33" i="7"/>
  <c r="K33" i="7"/>
  <c r="M33" i="7"/>
  <c r="M32" i="7"/>
  <c r="K32" i="7"/>
  <c r="I32" i="7"/>
  <c r="K31" i="7"/>
  <c r="I31" i="7"/>
  <c r="M31" i="7"/>
  <c r="I30" i="7"/>
  <c r="K30" i="7"/>
  <c r="M30" i="7"/>
  <c r="K29" i="7"/>
  <c r="M29" i="7"/>
  <c r="I29" i="7"/>
  <c r="I28" i="7"/>
  <c r="M28" i="7"/>
  <c r="K28" i="7"/>
  <c r="K26" i="7"/>
  <c r="I26" i="7"/>
  <c r="M26" i="7"/>
  <c r="K25" i="7"/>
  <c r="M25" i="7"/>
  <c r="I25" i="7"/>
  <c r="I24" i="7"/>
  <c r="M24" i="7"/>
  <c r="K24" i="7"/>
  <c r="I23" i="7"/>
  <c r="M23" i="7"/>
  <c r="K23" i="7"/>
  <c r="K22" i="7"/>
  <c r="M22" i="7"/>
  <c r="I22" i="7"/>
  <c r="I21" i="7"/>
  <c r="K21" i="7"/>
  <c r="M21" i="7"/>
  <c r="I20" i="7"/>
  <c r="M20" i="7"/>
  <c r="K20" i="7"/>
  <c r="I19" i="7"/>
  <c r="K19" i="7"/>
  <c r="M19" i="7"/>
  <c r="K18" i="7"/>
  <c r="I18" i="7"/>
  <c r="M18" i="7"/>
  <c r="K17" i="7"/>
  <c r="I17" i="7"/>
  <c r="M17" i="7"/>
  <c r="M16" i="7"/>
  <c r="I16" i="7"/>
  <c r="K16" i="7"/>
  <c r="M15" i="7"/>
  <c r="K15" i="7"/>
  <c r="I15" i="7"/>
  <c r="K14" i="7"/>
  <c r="M14" i="7"/>
  <c r="I14" i="7"/>
  <c r="M12" i="7"/>
  <c r="K12" i="7"/>
  <c r="I12" i="7"/>
  <c r="K11" i="7"/>
  <c r="I11" i="7"/>
  <c r="M11" i="7"/>
  <c r="I10" i="7"/>
  <c r="M10" i="7"/>
  <c r="K10" i="7"/>
  <c r="I9" i="7"/>
  <c r="K9" i="7"/>
  <c r="M9" i="7"/>
  <c r="M8" i="7"/>
  <c r="K8" i="7"/>
  <c r="I8" i="7"/>
  <c r="M7" i="7"/>
  <c r="K7" i="7"/>
  <c r="I7" i="7"/>
  <c r="M6" i="7"/>
  <c r="I6" i="7"/>
  <c r="K6" i="7"/>
  <c r="K5" i="7"/>
  <c r="I5" i="7"/>
  <c r="M5" i="7"/>
  <c r="K4" i="7"/>
  <c r="M4" i="7"/>
  <c r="I4" i="7"/>
  <c r="M3" i="7"/>
  <c r="K3" i="7"/>
  <c r="L3" i="7" s="1"/>
  <c r="I3" i="7"/>
  <c r="I2" i="7"/>
  <c r="K2" i="7"/>
  <c r="M2" i="7"/>
  <c r="G2" i="4"/>
  <c r="G3" i="4" s="1"/>
  <c r="G4" i="4" s="1"/>
  <c r="I2" i="4"/>
  <c r="J2" i="4" s="1"/>
  <c r="J3" i="4" l="1"/>
  <c r="J4" i="4" s="1"/>
  <c r="N156" i="13" a="1"/>
  <c r="N156" i="13" s="1"/>
  <c r="P156" i="13" s="1"/>
  <c r="N101" i="13" a="1"/>
  <c r="N101" i="13" s="1"/>
  <c r="N32" i="13" a="1"/>
  <c r="N32" i="13" s="1"/>
  <c r="N49" i="13" a="1"/>
  <c r="N49" i="13" s="1"/>
  <c r="N70" i="13" a="1"/>
  <c r="N70" i="13" s="1"/>
  <c r="N9" i="13" a="1"/>
  <c r="N9" i="13" s="1"/>
  <c r="N81" i="13" a="1"/>
  <c r="N81" i="13" s="1"/>
  <c r="N153" i="13" a="1"/>
  <c r="N153" i="13" s="1"/>
  <c r="N139" i="13" a="1"/>
  <c r="N139" i="13" s="1"/>
  <c r="N30" i="13" a="1"/>
  <c r="N30" i="13" s="1"/>
  <c r="N48" i="13" a="1"/>
  <c r="N48" i="13" s="1"/>
  <c r="N68" i="13" a="1"/>
  <c r="N68" i="13" s="1"/>
  <c r="N97" i="13" a="1"/>
  <c r="N97" i="13" s="1"/>
  <c r="N26" i="13" a="1"/>
  <c r="N26" i="13" s="1"/>
  <c r="N90" i="13" a="1"/>
  <c r="N90" i="13" s="1"/>
  <c r="N84" i="13" a="1"/>
  <c r="N84" i="13" s="1"/>
  <c r="N25" i="13" a="1"/>
  <c r="N25" i="13" s="1"/>
  <c r="N117" i="13" a="1"/>
  <c r="N117" i="13" s="1"/>
  <c r="N105" i="13" a="1"/>
  <c r="N105" i="13" s="1"/>
  <c r="N61" i="13" a="1"/>
  <c r="N61" i="13" s="1"/>
  <c r="N119" i="13" a="1"/>
  <c r="N119" i="13" s="1"/>
  <c r="N37" i="13" a="1"/>
  <c r="N37" i="13" s="1"/>
  <c r="N67" i="13" a="1"/>
  <c r="N67" i="13" s="1"/>
  <c r="N151" i="13" a="1"/>
  <c r="N151" i="13" s="1"/>
  <c r="N120" i="13" a="1"/>
  <c r="N120" i="13" s="1"/>
  <c r="N53" i="13" a="1"/>
  <c r="N53" i="13" s="1"/>
  <c r="N146" i="13" a="1"/>
  <c r="N146" i="13" s="1"/>
  <c r="N42" i="13" a="1"/>
  <c r="N42" i="13" s="1"/>
  <c r="N80" i="13" a="1"/>
  <c r="N80" i="13" s="1"/>
  <c r="N20" i="13" a="1"/>
  <c r="N20" i="13" s="1"/>
  <c r="N150" i="13" a="1"/>
  <c r="N150" i="13" s="1"/>
  <c r="N41" i="13" a="1"/>
  <c r="N41" i="13" s="1"/>
  <c r="N133" i="13" a="1"/>
  <c r="N133" i="13" s="1"/>
  <c r="N82" i="13" a="1"/>
  <c r="N82" i="13" s="1"/>
  <c r="N91" i="13" a="1"/>
  <c r="N91" i="13" s="1"/>
  <c r="N17" i="13" a="1"/>
  <c r="N17" i="13" s="1"/>
  <c r="N118" i="13" a="1"/>
  <c r="N118" i="13" s="1"/>
  <c r="N102" i="13" a="1"/>
  <c r="N102" i="13" s="1"/>
  <c r="N51" i="13" a="1"/>
  <c r="N51" i="13" s="1"/>
  <c r="N73" i="13" a="1"/>
  <c r="N73" i="13" s="1"/>
  <c r="N88" i="13" a="1"/>
  <c r="N88" i="13" s="1"/>
  <c r="N112" i="13" a="1"/>
  <c r="N112" i="13" s="1"/>
  <c r="N66" i="13" a="1"/>
  <c r="N66" i="13" s="1"/>
  <c r="N72" i="13" a="1"/>
  <c r="N72" i="13" s="1"/>
  <c r="N95" i="13" a="1"/>
  <c r="N95" i="13" s="1"/>
  <c r="N138" i="13" a="1"/>
  <c r="N138" i="13" s="1"/>
  <c r="N35" i="13" a="1"/>
  <c r="N35" i="13" s="1"/>
  <c r="N132" i="13" a="1"/>
  <c r="N132" i="13" s="1"/>
  <c r="N103" i="13" a="1"/>
  <c r="N103" i="13" s="1"/>
  <c r="N96" i="13" a="1"/>
  <c r="N96" i="13" s="1"/>
  <c r="N22" i="13" a="1"/>
  <c r="N22" i="13" s="1"/>
  <c r="N59" i="13" a="1"/>
  <c r="N59" i="13" s="1"/>
  <c r="N159" i="13" a="1"/>
  <c r="N159" i="13" s="1"/>
  <c r="P159" i="13" s="1"/>
  <c r="N113" i="13" a="1"/>
  <c r="N113" i="13" s="1"/>
  <c r="N87" i="13" a="1"/>
  <c r="N87" i="13" s="1"/>
  <c r="N131" i="13" a="1"/>
  <c r="N131" i="13" s="1"/>
  <c r="N60" i="13" a="1"/>
  <c r="N60" i="13" s="1"/>
  <c r="N106" i="13" a="1"/>
  <c r="N106" i="13" s="1"/>
  <c r="N100" i="13" a="1"/>
  <c r="N100" i="13" s="1"/>
  <c r="N135" i="13" a="1"/>
  <c r="N135" i="13" s="1"/>
  <c r="N64" i="13" a="1"/>
  <c r="N64" i="13" s="1"/>
  <c r="N38" i="13" a="1"/>
  <c r="N38" i="13" s="1"/>
  <c r="N98" i="13" a="1"/>
  <c r="N98" i="13" s="1"/>
  <c r="N14" i="13" a="1"/>
  <c r="N14" i="13" s="1"/>
  <c r="N44" i="13" a="1"/>
  <c r="N44" i="13" s="1"/>
  <c r="N79" i="13" a="1"/>
  <c r="N79" i="13" s="1"/>
  <c r="N21" i="13" a="1"/>
  <c r="N21" i="13" s="1"/>
  <c r="N165" i="13" a="1"/>
  <c r="N165" i="13" s="1"/>
  <c r="P165" i="13" s="1"/>
  <c r="N46" i="13" a="1"/>
  <c r="N46" i="13" s="1"/>
  <c r="N94" i="13" a="1"/>
  <c r="N94" i="13" s="1"/>
  <c r="N33" i="13" a="1"/>
  <c r="N33" i="13" s="1"/>
  <c r="N89" i="13" a="1"/>
  <c r="N89" i="13" s="1"/>
  <c r="N110" i="13" a="1"/>
  <c r="N110" i="13" s="1"/>
  <c r="N75" i="13" a="1"/>
  <c r="N75" i="13" s="1"/>
  <c r="N45" i="13" a="1"/>
  <c r="N45" i="13" s="1"/>
  <c r="N122" i="13" a="1"/>
  <c r="N122" i="13" s="1"/>
  <c r="N158" i="13" a="1"/>
  <c r="N158" i="13" s="1"/>
  <c r="P158" i="13" s="1"/>
  <c r="N147" i="13" a="1"/>
  <c r="N147" i="13" s="1"/>
  <c r="N19" i="13" a="1"/>
  <c r="N19" i="13" s="1"/>
  <c r="N40" i="13" a="1"/>
  <c r="N40" i="13" s="1"/>
  <c r="N34" i="13" a="1"/>
  <c r="N34" i="13" s="1"/>
  <c r="N125" i="13" a="1"/>
  <c r="N125" i="13" s="1"/>
  <c r="N145" i="13" a="1"/>
  <c r="N145" i="13" s="1"/>
  <c r="N129" i="13" a="1"/>
  <c r="N129" i="13" s="1"/>
  <c r="N83" i="13" a="1"/>
  <c r="N83" i="13" s="1"/>
  <c r="N134" i="13" a="1"/>
  <c r="N134" i="13" s="1"/>
  <c r="N136" i="13" a="1"/>
  <c r="N136" i="13" s="1"/>
  <c r="N157" i="13" a="1"/>
  <c r="N157" i="13" s="1"/>
  <c r="P157" i="13" s="1"/>
  <c r="N86" i="13" a="1"/>
  <c r="N86" i="13" s="1"/>
  <c r="N23" i="13" a="1"/>
  <c r="N23" i="13" s="1"/>
  <c r="N116" i="13" a="1"/>
  <c r="N116" i="13" s="1"/>
  <c r="N24" i="13" a="1"/>
  <c r="N24" i="13" s="1"/>
  <c r="N27" i="13" a="1"/>
  <c r="N27" i="13" s="1"/>
  <c r="N7" i="13" a="1"/>
  <c r="N7" i="13" s="1"/>
  <c r="N62" i="13" a="1"/>
  <c r="N62" i="13" s="1"/>
  <c r="N137" i="13" a="1"/>
  <c r="N137" i="13" s="1"/>
  <c r="N152" i="13" a="1"/>
  <c r="N152" i="13" s="1"/>
  <c r="N149" i="13" a="1"/>
  <c r="N149" i="13" s="1"/>
  <c r="N28" i="13" a="1"/>
  <c r="N28" i="13" s="1"/>
  <c r="N92" i="13" a="1"/>
  <c r="N92" i="13" s="1"/>
  <c r="N108" i="13" a="1"/>
  <c r="N108" i="13" s="1"/>
  <c r="N12" i="13" a="1"/>
  <c r="N12" i="13" s="1"/>
  <c r="N123" i="13" a="1"/>
  <c r="N123" i="13" s="1"/>
  <c r="N36" i="13" a="1"/>
  <c r="N36" i="13" s="1"/>
  <c r="N15" i="13" a="1"/>
  <c r="N15" i="13" s="1"/>
  <c r="N10" i="13" a="1"/>
  <c r="N10" i="13" s="1"/>
  <c r="N57" i="13" a="1"/>
  <c r="N57" i="13" s="1"/>
  <c r="N74" i="13" a="1"/>
  <c r="N74" i="13" s="1"/>
  <c r="N29" i="13" a="1"/>
  <c r="N29" i="13" s="1"/>
  <c r="N31" i="13" a="1"/>
  <c r="N31" i="13" s="1"/>
  <c r="N50" i="13" a="1"/>
  <c r="N50" i="13" s="1"/>
  <c r="N111" i="13" a="1"/>
  <c r="N111" i="13" s="1"/>
  <c r="N58" i="13" a="1"/>
  <c r="N58" i="13" s="1"/>
  <c r="N71" i="13" a="1"/>
  <c r="N71" i="13" s="1"/>
  <c r="N126" i="13" a="1"/>
  <c r="N126" i="13" s="1"/>
  <c r="N47" i="13" a="1"/>
  <c r="N47" i="13" s="1"/>
  <c r="N2" i="13" a="1"/>
  <c r="N2" i="13" s="1"/>
  <c r="N140" i="13" a="1"/>
  <c r="N140" i="13" s="1"/>
  <c r="N43" i="13" a="1"/>
  <c r="N43" i="13" s="1"/>
  <c r="N63" i="13" a="1"/>
  <c r="N63" i="13" s="1"/>
  <c r="N163" i="13" a="1"/>
  <c r="N163" i="13" s="1"/>
  <c r="P163" i="13" s="1"/>
  <c r="N56" i="13" a="1"/>
  <c r="N56" i="13" s="1"/>
  <c r="N115" i="13" a="1"/>
  <c r="N115" i="13" s="1"/>
  <c r="N69" i="13" a="1"/>
  <c r="N69" i="13" s="1"/>
  <c r="N144" i="13" a="1"/>
  <c r="N144" i="13" s="1"/>
  <c r="N121" i="13" a="1"/>
  <c r="N121" i="13" s="1"/>
  <c r="N4" i="13" a="1"/>
  <c r="N4" i="13" s="1"/>
  <c r="N109" i="13" a="1"/>
  <c r="N109" i="13" s="1"/>
  <c r="N39" i="13" a="1"/>
  <c r="N39" i="13" s="1"/>
  <c r="N55" i="13" a="1"/>
  <c r="N55" i="13" s="1"/>
  <c r="N16" i="13" a="1"/>
  <c r="N16" i="13" s="1"/>
  <c r="N166" i="13" a="1"/>
  <c r="N166" i="13" s="1"/>
  <c r="P166" i="13" s="1"/>
  <c r="N85" i="13" a="1"/>
  <c r="N85" i="13" s="1"/>
  <c r="N164" i="13" a="1"/>
  <c r="N164" i="13" s="1"/>
  <c r="P164" i="13" s="1"/>
  <c r="N124" i="13" a="1"/>
  <c r="N124" i="13" s="1"/>
  <c r="N78" i="13" a="1"/>
  <c r="N78" i="13" s="1"/>
  <c r="N6" i="13" a="1"/>
  <c r="N6" i="13" s="1"/>
  <c r="N160" i="13" a="1"/>
  <c r="N160" i="13" s="1"/>
  <c r="P160" i="13" s="1"/>
  <c r="N13" i="13" a="1"/>
  <c r="N13" i="13" s="1"/>
  <c r="N148" i="13" a="1"/>
  <c r="N148" i="13" s="1"/>
  <c r="N18" i="13" a="1"/>
  <c r="N18" i="13" s="1"/>
  <c r="N76" i="13" a="1"/>
  <c r="N76" i="13" s="1"/>
  <c r="N141" i="13" a="1"/>
  <c r="N141" i="13" s="1"/>
  <c r="N128" i="13" a="1"/>
  <c r="N128" i="13" s="1"/>
  <c r="N8" i="13" a="1"/>
  <c r="N8" i="13" s="1"/>
  <c r="N65" i="13" a="1"/>
  <c r="N65" i="13" s="1"/>
  <c r="N99" i="13" a="1"/>
  <c r="N99" i="13" s="1"/>
  <c r="N5" i="13" a="1"/>
  <c r="N5" i="13" s="1"/>
  <c r="N104" i="13" a="1"/>
  <c r="N104" i="13" s="1"/>
  <c r="N11" i="13" a="1"/>
  <c r="N11" i="13" s="1"/>
  <c r="N93" i="13" a="1"/>
  <c r="N93" i="13" s="1"/>
  <c r="N77" i="13" a="1"/>
  <c r="N77" i="13" s="1"/>
  <c r="N52" i="13" a="1"/>
  <c r="N52" i="13" s="1"/>
  <c r="N54" i="13" a="1"/>
  <c r="N54" i="13" s="1"/>
  <c r="N107" i="13" a="1"/>
  <c r="N107" i="13" s="1"/>
  <c r="N130" i="13" a="1"/>
  <c r="N130" i="13" s="1"/>
  <c r="N154" i="13" a="1"/>
  <c r="N154" i="13" s="1"/>
  <c r="P154" i="13" s="1"/>
  <c r="N142" i="13" a="1"/>
  <c r="N142" i="13" s="1"/>
  <c r="N143" i="13" a="1"/>
  <c r="N143" i="13" s="1"/>
  <c r="N3" i="13" a="1"/>
  <c r="N3" i="13" s="1"/>
  <c r="N162" i="13" a="1"/>
  <c r="N162" i="13" s="1"/>
  <c r="P162" i="13" s="1"/>
  <c r="N161" i="13" a="1"/>
  <c r="N161" i="13" s="1"/>
  <c r="P161" i="13" s="1"/>
  <c r="N127" i="13" a="1"/>
  <c r="N127" i="13" s="1"/>
  <c r="N114" i="13" a="1"/>
  <c r="N114" i="13" s="1"/>
  <c r="N167" i="13" a="1"/>
  <c r="N167" i="13" s="1"/>
  <c r="P167" i="13" s="1"/>
  <c r="M57" i="13"/>
  <c r="M70" i="13"/>
  <c r="I70" i="13"/>
  <c r="O155" i="13" s="1" a="1"/>
  <c r="O155" i="13" s="1"/>
  <c r="Q155" i="13" s="1"/>
  <c r="L4" i="7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O156" i="13" l="1" a="1"/>
  <c r="O156" i="13" s="1"/>
  <c r="Q156" i="13" s="1"/>
  <c r="O66" i="13" a="1"/>
  <c r="O66" i="13" s="1"/>
  <c r="O141" i="13" a="1"/>
  <c r="O141" i="13" s="1"/>
  <c r="O151" i="13" a="1"/>
  <c r="O151" i="13" s="1"/>
  <c r="O118" i="13" a="1"/>
  <c r="O118" i="13" s="1"/>
  <c r="O160" i="13" a="1"/>
  <c r="O160" i="13" s="1"/>
  <c r="Q160" i="13" s="1"/>
  <c r="O9" i="13" a="1"/>
  <c r="O9" i="13" s="1"/>
  <c r="O61" i="13" a="1"/>
  <c r="O61" i="13" s="1"/>
  <c r="O79" i="13" a="1"/>
  <c r="O79" i="13" s="1"/>
  <c r="O74" i="13" a="1"/>
  <c r="O74" i="13" s="1"/>
  <c r="O22" i="13" a="1"/>
  <c r="O22" i="13" s="1"/>
  <c r="O157" i="13" a="1"/>
  <c r="O157" i="13" s="1"/>
  <c r="Q157" i="13" s="1"/>
  <c r="O94" i="13" a="1"/>
  <c r="O94" i="13" s="1"/>
  <c r="O62" i="13" a="1"/>
  <c r="O62" i="13" s="1"/>
  <c r="O132" i="13" a="1"/>
  <c r="O132" i="13" s="1"/>
  <c r="O112" i="13" a="1"/>
  <c r="O112" i="13" s="1"/>
  <c r="O165" i="13" a="1"/>
  <c r="O165" i="13" s="1"/>
  <c r="Q165" i="13" s="1"/>
  <c r="O81" i="13" a="1"/>
  <c r="O81" i="13" s="1"/>
  <c r="O20" i="13" a="1"/>
  <c r="O20" i="13" s="1"/>
  <c r="O72" i="13" a="1"/>
  <c r="O72" i="13" s="1"/>
  <c r="O152" i="13" a="1"/>
  <c r="O152" i="13" s="1"/>
  <c r="O21" i="13" a="1"/>
  <c r="O21" i="13" s="1"/>
  <c r="O48" i="13" a="1"/>
  <c r="O48" i="13" s="1"/>
  <c r="O104" i="13" a="1"/>
  <c r="O104" i="13" s="1"/>
  <c r="O41" i="13" a="1"/>
  <c r="O41" i="13" s="1"/>
  <c r="O136" i="13" a="1"/>
  <c r="O136" i="13" s="1"/>
  <c r="O65" i="13" a="1"/>
  <c r="O65" i="13" s="1"/>
  <c r="O5" i="13" a="1"/>
  <c r="O5" i="13" s="1"/>
  <c r="O29" i="13" a="1"/>
  <c r="O29" i="13" s="1"/>
  <c r="O24" i="13" a="1"/>
  <c r="O24" i="13" s="1"/>
  <c r="O167" i="13" a="1"/>
  <c r="O167" i="13" s="1"/>
  <c r="Q167" i="13" s="1"/>
  <c r="O154" i="13" a="1"/>
  <c r="O154" i="13" s="1"/>
  <c r="Q154" i="13" s="1"/>
  <c r="O143" i="13" a="1"/>
  <c r="O143" i="13" s="1"/>
  <c r="O139" i="13" a="1"/>
  <c r="O139" i="13" s="1"/>
  <c r="O133" i="13" a="1"/>
  <c r="O133" i="13" s="1"/>
  <c r="O101" i="13" a="1"/>
  <c r="O101" i="13" s="1"/>
  <c r="O113" i="13" a="1"/>
  <c r="O113" i="13" s="1"/>
  <c r="O83" i="13" a="1"/>
  <c r="O83" i="13" s="1"/>
  <c r="O56" i="13" a="1"/>
  <c r="O56" i="13" s="1"/>
  <c r="O150" i="13" a="1"/>
  <c r="O150" i="13" s="1"/>
  <c r="O17" i="13" a="1"/>
  <c r="O17" i="13" s="1"/>
  <c r="O36" i="13" a="1"/>
  <c r="O36" i="13" s="1"/>
  <c r="O107" i="13" a="1"/>
  <c r="O107" i="13" s="1"/>
  <c r="O91" i="13" a="1"/>
  <c r="O91" i="13" s="1"/>
  <c r="O63" i="13" a="1"/>
  <c r="O63" i="13" s="1"/>
  <c r="O76" i="13" a="1"/>
  <c r="O76" i="13" s="1"/>
  <c r="O115" i="13" a="1"/>
  <c r="O115" i="13" s="1"/>
  <c r="O68" i="13" a="1"/>
  <c r="O68" i="13" s="1"/>
  <c r="O51" i="13" a="1"/>
  <c r="O51" i="13" s="1"/>
  <c r="O4" i="13" a="1"/>
  <c r="O4" i="13" s="1"/>
  <c r="O122" i="13" a="1"/>
  <c r="O122" i="13" s="1"/>
  <c r="O166" i="13" a="1"/>
  <c r="O166" i="13" s="1"/>
  <c r="Q166" i="13" s="1"/>
  <c r="O129" i="13" a="1"/>
  <c r="O129" i="13" s="1"/>
  <c r="O161" i="13" a="1"/>
  <c r="O161" i="13" s="1"/>
  <c r="Q161" i="13" s="1"/>
  <c r="O90" i="13" a="1"/>
  <c r="O90" i="13" s="1"/>
  <c r="O60" i="13" a="1"/>
  <c r="O60" i="13" s="1"/>
  <c r="O2" i="13" a="1"/>
  <c r="O2" i="13" s="1"/>
  <c r="O130" i="13" a="1"/>
  <c r="O130" i="13" s="1"/>
  <c r="O82" i="13" a="1"/>
  <c r="O82" i="13" s="1"/>
  <c r="O153" i="13" a="1"/>
  <c r="O153" i="13" s="1"/>
  <c r="O31" i="13" a="1"/>
  <c r="O31" i="13" s="1"/>
  <c r="O85" i="13" a="1"/>
  <c r="O85" i="13" s="1"/>
  <c r="O120" i="13" a="1"/>
  <c r="O120" i="13" s="1"/>
  <c r="O131" i="13" a="1"/>
  <c r="O131" i="13" s="1"/>
  <c r="O55" i="13" a="1"/>
  <c r="O55" i="13" s="1"/>
  <c r="O8" i="13" a="1"/>
  <c r="O8" i="13" s="1"/>
  <c r="O138" i="13" a="1"/>
  <c r="O138" i="13" s="1"/>
  <c r="O45" i="13" a="1"/>
  <c r="O45" i="13" s="1"/>
  <c r="O142" i="13" a="1"/>
  <c r="O142" i="13" s="1"/>
  <c r="O123" i="13" a="1"/>
  <c r="O123" i="13" s="1"/>
  <c r="O69" i="13" a="1"/>
  <c r="O69" i="13" s="1"/>
  <c r="O162" i="13" a="1"/>
  <c r="O162" i="13" s="1"/>
  <c r="Q162" i="13" s="1"/>
  <c r="O49" i="13" a="1"/>
  <c r="O49" i="13" s="1"/>
  <c r="O108" i="13" a="1"/>
  <c r="O108" i="13" s="1"/>
  <c r="O164" i="13" a="1"/>
  <c r="O164" i="13" s="1"/>
  <c r="Q164" i="13" s="1"/>
  <c r="O32" i="13" a="1"/>
  <c r="O32" i="13" s="1"/>
  <c r="O47" i="13" a="1"/>
  <c r="O47" i="13" s="1"/>
  <c r="O37" i="13" a="1"/>
  <c r="O37" i="13" s="1"/>
  <c r="O146" i="13" a="1"/>
  <c r="O146" i="13" s="1"/>
  <c r="O53" i="13" a="1"/>
  <c r="O53" i="13" s="1"/>
  <c r="O86" i="13" a="1"/>
  <c r="O86" i="13" s="1"/>
  <c r="O7" i="13" a="1"/>
  <c r="O7" i="13" s="1"/>
  <c r="O140" i="13" a="1"/>
  <c r="O140" i="13" s="1"/>
  <c r="O15" i="13" a="1"/>
  <c r="O15" i="13" s="1"/>
  <c r="O70" i="13" a="1"/>
  <c r="O70" i="13" s="1"/>
  <c r="O33" i="13" a="1"/>
  <c r="O33" i="13" s="1"/>
  <c r="O14" i="13" a="1"/>
  <c r="O14" i="13" s="1"/>
  <c r="O110" i="13" a="1"/>
  <c r="O110" i="13" s="1"/>
  <c r="O80" i="13" a="1"/>
  <c r="O80" i="13" s="1"/>
  <c r="O50" i="13" a="1"/>
  <c r="O50" i="13" s="1"/>
  <c r="O100" i="13" a="1"/>
  <c r="O100" i="13" s="1"/>
  <c r="O67" i="13" a="1"/>
  <c r="O67" i="13" s="1"/>
  <c r="O57" i="13" a="1"/>
  <c r="O57" i="13" s="1"/>
  <c r="O134" i="13" a="1"/>
  <c r="O134" i="13" s="1"/>
  <c r="O87" i="13" a="1"/>
  <c r="O87" i="13" s="1"/>
  <c r="O39" i="13" a="1"/>
  <c r="O39" i="13" s="1"/>
  <c r="O96" i="13" a="1"/>
  <c r="O96" i="13" s="1"/>
  <c r="O25" i="13" a="1"/>
  <c r="O25" i="13" s="1"/>
  <c r="O127" i="13" a="1"/>
  <c r="O127" i="13" s="1"/>
  <c r="O78" i="13" a="1"/>
  <c r="O78" i="13" s="1"/>
  <c r="O148" i="13" a="1"/>
  <c r="O148" i="13" s="1"/>
  <c r="O18" i="13" a="1"/>
  <c r="O18" i="13" s="1"/>
  <c r="O119" i="13" a="1"/>
  <c r="O119" i="13" s="1"/>
  <c r="O73" i="13" a="1"/>
  <c r="O73" i="13" s="1"/>
  <c r="O35" i="13" a="1"/>
  <c r="O35" i="13" s="1"/>
  <c r="O117" i="13" a="1"/>
  <c r="O117" i="13" s="1"/>
  <c r="O126" i="13" a="1"/>
  <c r="O126" i="13" s="1"/>
  <c r="O46" i="13" a="1"/>
  <c r="O46" i="13" s="1"/>
  <c r="O42" i="13" a="1"/>
  <c r="O42" i="13" s="1"/>
  <c r="O99" i="13" a="1"/>
  <c r="O99" i="13" s="1"/>
  <c r="O71" i="13" a="1"/>
  <c r="O71" i="13" s="1"/>
  <c r="O34" i="13" a="1"/>
  <c r="O34" i="13" s="1"/>
  <c r="O13" i="13" a="1"/>
  <c r="O13" i="13" s="1"/>
  <c r="O137" i="13" a="1"/>
  <c r="O137" i="13" s="1"/>
  <c r="O149" i="13" a="1"/>
  <c r="O149" i="13" s="1"/>
  <c r="O159" i="13" a="1"/>
  <c r="O159" i="13" s="1"/>
  <c r="Q159" i="13" s="1"/>
  <c r="O30" i="13" a="1"/>
  <c r="O30" i="13" s="1"/>
  <c r="O77" i="13" a="1"/>
  <c r="O77" i="13" s="1"/>
  <c r="O26" i="13" a="1"/>
  <c r="O26" i="13" s="1"/>
  <c r="O103" i="13" a="1"/>
  <c r="O103" i="13" s="1"/>
  <c r="O16" i="13" a="1"/>
  <c r="O16" i="13" s="1"/>
  <c r="O38" i="13" a="1"/>
  <c r="O38" i="13" s="1"/>
  <c r="O128" i="13" a="1"/>
  <c r="O128" i="13" s="1"/>
  <c r="O121" i="13" a="1"/>
  <c r="O121" i="13" s="1"/>
  <c r="O28" i="13" a="1"/>
  <c r="O28" i="13" s="1"/>
  <c r="O12" i="13" a="1"/>
  <c r="O12" i="13" s="1"/>
  <c r="O114" i="13" a="1"/>
  <c r="O114" i="13" s="1"/>
  <c r="O144" i="13" a="1"/>
  <c r="O144" i="13" s="1"/>
  <c r="O52" i="13" a="1"/>
  <c r="O52" i="13" s="1"/>
  <c r="O64" i="13" a="1"/>
  <c r="O64" i="13" s="1"/>
  <c r="O145" i="13" a="1"/>
  <c r="O145" i="13" s="1"/>
  <c r="O59" i="13" a="1"/>
  <c r="O59" i="13" s="1"/>
  <c r="O6" i="13" a="1"/>
  <c r="O6" i="13" s="1"/>
  <c r="O92" i="13" a="1"/>
  <c r="O92" i="13" s="1"/>
  <c r="O27" i="13" a="1"/>
  <c r="O27" i="13" s="1"/>
  <c r="O58" i="13" a="1"/>
  <c r="O58" i="13" s="1"/>
  <c r="O125" i="13" a="1"/>
  <c r="O125" i="13" s="1"/>
  <c r="O43" i="13" a="1"/>
  <c r="O43" i="13" s="1"/>
  <c r="O135" i="13" a="1"/>
  <c r="O135" i="13" s="1"/>
  <c r="O95" i="13" a="1"/>
  <c r="O95" i="13" s="1"/>
  <c r="O147" i="13" a="1"/>
  <c r="O147" i="13" s="1"/>
  <c r="O3" i="13" a="1"/>
  <c r="O3" i="13" s="1"/>
  <c r="O93" i="13" a="1"/>
  <c r="O93" i="13" s="1"/>
  <c r="O88" i="13" a="1"/>
  <c r="O88" i="13" s="1"/>
  <c r="O102" i="13" a="1"/>
  <c r="O102" i="13" s="1"/>
  <c r="O109" i="13" a="1"/>
  <c r="O109" i="13" s="1"/>
  <c r="O111" i="13" a="1"/>
  <c r="O111" i="13" s="1"/>
  <c r="O23" i="13" a="1"/>
  <c r="O23" i="13" s="1"/>
  <c r="O11" i="13" a="1"/>
  <c r="O11" i="13" s="1"/>
  <c r="O116" i="13" a="1"/>
  <c r="O116" i="13" s="1"/>
  <c r="O106" i="13" a="1"/>
  <c r="O106" i="13" s="1"/>
  <c r="O163" i="13" a="1"/>
  <c r="O163" i="13" s="1"/>
  <c r="Q163" i="13" s="1"/>
  <c r="O97" i="13" a="1"/>
  <c r="O97" i="13" s="1"/>
  <c r="O44" i="13" a="1"/>
  <c r="O44" i="13" s="1"/>
  <c r="O98" i="13" a="1"/>
  <c r="O98" i="13" s="1"/>
  <c r="O105" i="13" a="1"/>
  <c r="O105" i="13" s="1"/>
  <c r="O10" i="13" a="1"/>
  <c r="O10" i="13" s="1"/>
  <c r="O158" i="13" a="1"/>
  <c r="O158" i="13" s="1"/>
  <c r="Q158" i="13" s="1"/>
  <c r="O40" i="13" a="1"/>
  <c r="O40" i="13" s="1"/>
  <c r="O84" i="13" a="1"/>
  <c r="O84" i="13" s="1"/>
  <c r="O19" i="13" a="1"/>
  <c r="O19" i="13" s="1"/>
  <c r="O89" i="13" a="1"/>
  <c r="O89" i="13" s="1"/>
  <c r="O75" i="13" a="1"/>
  <c r="O75" i="13" s="1"/>
  <c r="O124" i="13" a="1"/>
  <c r="O124" i="13" s="1"/>
  <c r="O54" i="13" a="1"/>
  <c r="O54" i="13" s="1"/>
  <c r="P149" i="13"/>
  <c r="P143" i="13"/>
  <c r="P136" i="13"/>
  <c r="P111" i="13"/>
  <c r="P107" i="13"/>
  <c r="P97" i="13"/>
  <c r="P47" i="13"/>
  <c r="P74" i="13"/>
  <c r="P81" i="13"/>
  <c r="P70" i="13"/>
  <c r="P18" i="13"/>
  <c r="P57" i="13"/>
  <c r="P33" i="13"/>
  <c r="P38" i="13"/>
  <c r="P145" i="13"/>
  <c r="P124" i="13"/>
  <c r="P93" i="13"/>
  <c r="P79" i="13"/>
  <c r="P65" i="13"/>
  <c r="P40" i="13"/>
  <c r="P26" i="13"/>
  <c r="P147" i="13"/>
  <c r="P134" i="13"/>
  <c r="P123" i="13"/>
  <c r="P114" i="13"/>
  <c r="P92" i="13"/>
  <c r="P85" i="13"/>
  <c r="P76" i="13"/>
  <c r="P67" i="13"/>
  <c r="P59" i="13"/>
  <c r="P52" i="13"/>
  <c r="P43" i="13"/>
  <c r="P28" i="13"/>
  <c r="P21" i="13"/>
  <c r="P151" i="13"/>
  <c r="P138" i="13"/>
  <c r="P127" i="13"/>
  <c r="P116" i="13"/>
  <c r="P94" i="13"/>
  <c r="P87" i="13"/>
  <c r="P73" i="13"/>
  <c r="P58" i="13"/>
  <c r="P50" i="13"/>
  <c r="P39" i="13"/>
  <c r="P31" i="13"/>
  <c r="P9" i="13"/>
  <c r="P153" i="13"/>
  <c r="P142" i="13"/>
  <c r="P131" i="13"/>
  <c r="P120" i="13"/>
  <c r="P112" i="13"/>
  <c r="P78" i="13"/>
  <c r="P69" i="13"/>
  <c r="P61" i="13"/>
  <c r="P53" i="13"/>
  <c r="P45" i="13"/>
  <c r="P34" i="13"/>
  <c r="P17" i="13"/>
  <c r="P4" i="13"/>
  <c r="P146" i="13"/>
  <c r="P126" i="13"/>
  <c r="P108" i="13"/>
  <c r="P84" i="13"/>
  <c r="P66" i="13"/>
  <c r="P42" i="13"/>
  <c r="P16" i="13"/>
  <c r="P139" i="13"/>
  <c r="P128" i="13"/>
  <c r="P88" i="13"/>
  <c r="P80" i="13"/>
  <c r="P62" i="13"/>
  <c r="P54" i="13"/>
  <c r="P46" i="13"/>
  <c r="P35" i="13"/>
  <c r="P27" i="13"/>
  <c r="P20" i="13"/>
  <c r="P11" i="13"/>
  <c r="P6" i="13"/>
  <c r="P29" i="13"/>
  <c r="P23" i="13"/>
  <c r="P2" i="13"/>
  <c r="P150" i="13"/>
  <c r="P137" i="13"/>
  <c r="P125" i="13"/>
  <c r="P115" i="13"/>
  <c r="P86" i="13"/>
  <c r="P77" i="13"/>
  <c r="P68" i="13"/>
  <c r="P60" i="13"/>
  <c r="P48" i="13"/>
  <c r="P41" i="13"/>
  <c r="P32" i="13"/>
  <c r="P12" i="13"/>
  <c r="P3" i="13"/>
  <c r="P19" i="13"/>
  <c r="P5" i="13"/>
  <c r="P148" i="13"/>
  <c r="P133" i="13"/>
  <c r="P122" i="13"/>
  <c r="P113" i="13"/>
  <c r="P91" i="13"/>
  <c r="P14" i="13"/>
  <c r="P13" i="13"/>
  <c r="P144" i="13"/>
  <c r="P132" i="13"/>
  <c r="P121" i="13"/>
  <c r="P110" i="13"/>
  <c r="P106" i="13"/>
  <c r="P105" i="13"/>
  <c r="P104" i="13"/>
  <c r="P103" i="13"/>
  <c r="P102" i="13"/>
  <c r="P101" i="13"/>
  <c r="P100" i="13"/>
  <c r="P99" i="13"/>
  <c r="P98" i="13"/>
  <c r="P96" i="13"/>
  <c r="P135" i="13"/>
  <c r="P117" i="13"/>
  <c r="P89" i="13"/>
  <c r="P75" i="13"/>
  <c r="P51" i="13"/>
  <c r="P44" i="13"/>
  <c r="P22" i="13"/>
  <c r="P10" i="13"/>
  <c r="P152" i="13"/>
  <c r="P140" i="13"/>
  <c r="P129" i="13"/>
  <c r="P118" i="13"/>
  <c r="P109" i="13"/>
  <c r="P90" i="13"/>
  <c r="P83" i="13"/>
  <c r="P72" i="13"/>
  <c r="P64" i="13"/>
  <c r="P56" i="13"/>
  <c r="P49" i="13"/>
  <c r="P36" i="13"/>
  <c r="P30" i="13"/>
  <c r="P25" i="13"/>
  <c r="P15" i="13"/>
  <c r="P8" i="13"/>
  <c r="P141" i="13"/>
  <c r="P130" i="13"/>
  <c r="P119" i="13"/>
  <c r="P95" i="13"/>
  <c r="P82" i="13"/>
  <c r="P71" i="13"/>
  <c r="P63" i="13"/>
  <c r="P55" i="13"/>
  <c r="P37" i="13"/>
  <c r="P24" i="13"/>
  <c r="P7" i="13"/>
  <c r="Q149" i="13" l="1"/>
  <c r="Q143" i="13"/>
  <c r="Q136" i="13"/>
  <c r="Q111" i="13"/>
  <c r="Q107" i="13"/>
  <c r="Q97" i="13"/>
  <c r="Q2" i="13"/>
  <c r="Q74" i="13"/>
  <c r="Q70" i="13"/>
  <c r="Q81" i="13"/>
  <c r="Q18" i="13"/>
  <c r="Q57" i="13"/>
  <c r="Q33" i="13"/>
  <c r="Q38" i="13"/>
  <c r="Q65" i="13"/>
  <c r="Q21" i="13"/>
  <c r="Q73" i="13"/>
  <c r="Q35" i="13"/>
  <c r="Q106" i="13"/>
  <c r="Q28" i="13"/>
  <c r="Q34" i="13"/>
  <c r="Q101" i="13"/>
  <c r="Q90" i="13"/>
  <c r="Q68" i="13"/>
  <c r="Q17" i="13"/>
  <c r="Q88" i="13"/>
  <c r="Q5" i="13"/>
  <c r="Q92" i="13"/>
  <c r="Q80" i="13"/>
  <c r="Q86" i="13"/>
  <c r="Q95" i="13"/>
  <c r="Q22" i="13"/>
  <c r="Q23" i="13"/>
  <c r="Q103" i="13"/>
  <c r="Q89" i="13"/>
  <c r="Q120" i="13"/>
  <c r="Q117" i="13"/>
  <c r="Q135" i="13"/>
  <c r="Q108" i="13"/>
  <c r="Q72" i="13"/>
  <c r="Q122" i="13"/>
  <c r="Q128" i="13"/>
  <c r="Q133" i="13"/>
  <c r="Q56" i="13"/>
  <c r="Q60" i="13"/>
  <c r="Q14" i="13"/>
  <c r="Q36" i="13"/>
  <c r="Q63" i="13"/>
  <c r="Q4" i="13"/>
  <c r="Q29" i="13"/>
  <c r="Q87" i="13"/>
  <c r="Q119" i="13"/>
  <c r="Q71" i="13"/>
  <c r="Q7" i="13"/>
  <c r="Q125" i="13"/>
  <c r="Q121" i="13"/>
  <c r="Q69" i="13"/>
  <c r="Q45" i="13"/>
  <c r="Q61" i="13"/>
  <c r="Q129" i="13"/>
  <c r="Q37" i="13"/>
  <c r="Q126" i="13"/>
  <c r="Q77" i="13"/>
  <c r="Q24" i="13"/>
  <c r="Q137" i="13"/>
  <c r="Q141" i="13"/>
  <c r="Q78" i="13"/>
  <c r="Q8" i="13"/>
  <c r="Q75" i="13"/>
  <c r="Q99" i="13"/>
  <c r="Q118" i="13"/>
  <c r="Q79" i="13"/>
  <c r="Q20" i="13"/>
  <c r="Q110" i="13"/>
  <c r="Q32" i="13"/>
  <c r="Q26" i="13"/>
  <c r="Q9" i="13"/>
  <c r="Q96" i="13"/>
  <c r="Q51" i="13"/>
  <c r="Q82" i="13"/>
  <c r="Q145" i="13"/>
  <c r="Q48" i="13"/>
  <c r="Q83" i="13"/>
  <c r="Q40" i="13"/>
  <c r="Q144" i="13"/>
  <c r="Q152" i="13"/>
  <c r="Q84" i="13"/>
  <c r="Q15" i="13"/>
  <c r="Q67" i="13"/>
  <c r="Q76" i="13"/>
  <c r="Q109" i="13"/>
  <c r="Q58" i="13"/>
  <c r="Q131" i="13"/>
  <c r="Q139" i="13"/>
  <c r="Q104" i="13"/>
  <c r="Q94" i="13"/>
  <c r="Q54" i="13"/>
  <c r="Q151" i="13"/>
  <c r="Q52" i="13"/>
  <c r="Q113" i="13"/>
  <c r="Q153" i="13"/>
  <c r="Q44" i="13"/>
  <c r="Q114" i="13"/>
  <c r="Q64" i="13"/>
  <c r="Q148" i="13"/>
  <c r="Q116" i="13"/>
  <c r="Q147" i="13"/>
  <c r="Q91" i="13"/>
  <c r="Q150" i="13"/>
  <c r="Q130" i="13"/>
  <c r="Q62" i="13"/>
  <c r="Q142" i="13"/>
  <c r="Q39" i="13"/>
  <c r="Q100" i="13"/>
  <c r="Q140" i="13"/>
  <c r="Q31" i="13"/>
  <c r="Q98" i="13"/>
  <c r="Q43" i="13"/>
  <c r="Q127" i="13"/>
  <c r="Q16" i="13"/>
  <c r="Q53" i="13"/>
  <c r="Q25" i="13"/>
  <c r="Q66" i="13"/>
  <c r="Q102" i="13"/>
  <c r="Q50" i="13"/>
  <c r="Q132" i="13"/>
  <c r="Q93" i="13"/>
  <c r="Q124" i="13"/>
  <c r="Q12" i="13"/>
  <c r="Q134" i="13"/>
  <c r="Q55" i="13"/>
  <c r="Q105" i="13"/>
  <c r="Q42" i="13"/>
  <c r="Q13" i="13"/>
  <c r="Q85" i="13"/>
  <c r="Q27" i="13"/>
  <c r="Q115" i="13"/>
  <c r="Q46" i="13"/>
  <c r="Q49" i="13"/>
  <c r="Q41" i="13"/>
  <c r="Q112" i="13"/>
  <c r="Q47" i="13"/>
  <c r="Q138" i="13"/>
  <c r="Q11" i="13"/>
  <c r="Q30" i="13"/>
  <c r="Q146" i="13"/>
  <c r="Q6" i="13"/>
  <c r="Q10" i="13"/>
  <c r="Q3" i="13"/>
  <c r="Q59" i="13"/>
  <c r="Q123" i="13"/>
  <c r="Q19" i="1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<sst xmlns="http://schemas.openxmlformats.org/spreadsheetml/2006/main" count="2907" uniqueCount="677">
  <si>
    <t>現金</t>
  </si>
  <si>
    <t>対象外</t>
  </si>
  <si>
    <t>売上高</t>
  </si>
  <si>
    <t>雑収入</t>
  </si>
  <si>
    <t>仕入高</t>
  </si>
  <si>
    <t>修繕費</t>
  </si>
  <si>
    <t>買掛金</t>
  </si>
  <si>
    <t>減価償却費</t>
  </si>
  <si>
    <t>売掛金</t>
  </si>
  <si>
    <t>受取手形</t>
  </si>
  <si>
    <t>No</t>
  </si>
  <si>
    <t>残高（元）</t>
  </si>
  <si>
    <t>為替レート</t>
  </si>
  <si>
    <t>残高（円）</t>
  </si>
  <si>
    <t>入金</t>
  </si>
  <si>
    <t>国際送料</t>
  </si>
  <si>
    <t>PO-0007</t>
  </si>
  <si>
    <t>PO-0009</t>
  </si>
  <si>
    <t>PO-0004</t>
  </si>
  <si>
    <t>PO-0011</t>
  </si>
  <si>
    <t>PO-0012</t>
  </si>
  <si>
    <t>PO-0013</t>
  </si>
  <si>
    <t>PO-0014</t>
  </si>
  <si>
    <t>PO-0015</t>
  </si>
  <si>
    <t>PO-0016</t>
  </si>
  <si>
    <t>PO-0017</t>
  </si>
  <si>
    <t>DQS2945757EQ</t>
  </si>
  <si>
    <t>DQS2945758EQ</t>
  </si>
  <si>
    <t>PO-0019</t>
  </si>
  <si>
    <t>研究開発費</t>
  </si>
  <si>
    <t>発生日</t>
  </si>
  <si>
    <t>費用項目</t>
  </si>
  <si>
    <t>備考</t>
  </si>
  <si>
    <t>PO</t>
  </si>
  <si>
    <t>出金額（元）</t>
  </si>
  <si>
    <t>出金額（円）</t>
  </si>
  <si>
    <t>出金</t>
  </si>
  <si>
    <t>為替調整</t>
  </si>
  <si>
    <t>PO-0004</t>
    <phoneticPr fontId="18"/>
  </si>
  <si>
    <t>PO-0005</t>
    <phoneticPr fontId="18"/>
  </si>
  <si>
    <t>出金額（円）2</t>
  </si>
  <si>
    <t>残高（円）2</t>
  </si>
  <si>
    <t>残高（円）3</t>
    <phoneticPr fontId="18"/>
  </si>
  <si>
    <t>サンプル代</t>
  </si>
  <si>
    <t>OCS送料20KG 1箱</t>
  </si>
  <si>
    <t>OCS送料11KG 1箱</t>
  </si>
  <si>
    <t>欠品 返金 入金13.64元</t>
  </si>
  <si>
    <t>返品送料</t>
  </si>
  <si>
    <t>交换品送料 出金6元</t>
  </si>
  <si>
    <t>OCS送料56KG 3箱</t>
  </si>
  <si>
    <t>商品代金</t>
  </si>
  <si>
    <t>PO-0001</t>
  </si>
  <si>
    <t>検品作業等</t>
  </si>
  <si>
    <t>OCS送料 12KG 1箱</t>
  </si>
  <si>
    <t>PO-0002</t>
  </si>
  <si>
    <t>OCS送料 13KG 1箱</t>
  </si>
  <si>
    <t>資材</t>
  </si>
  <si>
    <t>OPP袋80枚</t>
  </si>
  <si>
    <t>発送作業</t>
  </si>
  <si>
    <t>PO-0003</t>
  </si>
  <si>
    <t>返品費用</t>
  </si>
  <si>
    <t>不良品返品送料</t>
  </si>
  <si>
    <t>快速船便208kg、8箱</t>
  </si>
  <si>
    <t>不良品返金</t>
  </si>
  <si>
    <t>検品、発送作業代行18時間</t>
  </si>
  <si>
    <t>OPP袋30枚</t>
  </si>
  <si>
    <t>為替評価損益</t>
  </si>
  <si>
    <t>Turn #</t>
  </si>
  <si>
    <t>Date</t>
  </si>
  <si>
    <t>User Request</t>
  </si>
  <si>
    <t>Action Taken</t>
  </si>
  <si>
    <t>Details</t>
  </si>
  <si>
    <t>Outcome</t>
  </si>
  <si>
    <t>ESPRIM明細→仕訳、YP、直行便の3シートの為替レート列に、為替レートシートの該当する週のrateを参照する数式を入れてほしい</t>
  </si>
  <si>
    <t>3シートの為替レート列にSUMPRODUCT数式を設定</t>
  </si>
  <si>
    <t>数式: =SUMPRODUCT((為替レート!$A$2:$A$160&lt;=B2)*(為替レート!$B$2:$B$160&gt;=B2)*為替レート!$E$2:$E$160)。日付がstart_date≤日付≤end_dateの範囲に該当する週のrateを返す。ESPRIM→O2:O74、YP→H2:H54、直行便→H2:H4。YPの古い日付（2022年）は為替レートシートにデータがないため0を返す。</t>
  </si>
  <si>
    <t>3シート全てに数式を設定完了。為替レートシートのカバー範囲内の日付は正常にレートを取得。範囲外の日付は0を返す（データ不在のため）。</t>
  </si>
  <si>
    <t>PO-0020</t>
  </si>
  <si>
    <t>PO-0022</t>
  </si>
  <si>
    <t>DQS2952404EQ</t>
  </si>
  <si>
    <t>DQS2951954EQ</t>
  </si>
  <si>
    <t>DQS2954260EQ</t>
  </si>
  <si>
    <t>PO-0024</t>
  </si>
  <si>
    <t>PO-0025</t>
  </si>
  <si>
    <t>PO-0026</t>
  </si>
  <si>
    <t>DQS2958567EQ</t>
  </si>
  <si>
    <t>DQS2960266EQ</t>
  </si>
  <si>
    <t>DQS PO-0026_発注書+前回返品分　合計2箱　2025.8.7</t>
  </si>
  <si>
    <t>DQS2962481EQ</t>
  </si>
  <si>
    <t>PO-0032</t>
  </si>
  <si>
    <t>PO-0031</t>
  </si>
  <si>
    <t>お食事エプロン不良品返品の国内送料</t>
  </si>
  <si>
    <t>PO-0035</t>
  </si>
  <si>
    <t>PO-0036</t>
  </si>
  <si>
    <t>キャンペーンD</t>
  </si>
  <si>
    <t>仕入部</t>
  </si>
  <si>
    <t>値引D</t>
  </si>
  <si>
    <t>税込</t>
  </si>
  <si>
    <t>課対仕返8%（軽）</t>
  </si>
  <si>
    <t>仕入割戻し高</t>
  </si>
  <si>
    <t>プロジェクトD</t>
  </si>
  <si>
    <t>エリアD</t>
  </si>
  <si>
    <t>納品書を添付,要確認</t>
  </si>
  <si>
    <t>商品D</t>
  </si>
  <si>
    <t>未決済支出取引・複数行</t>
  </si>
  <si>
    <t>課対仕入8%（軽）</t>
  </si>
  <si>
    <t>つばめ株式会社</t>
  </si>
  <si>
    <t>支出</t>
  </si>
  <si>
    <t>エリアC</t>
  </si>
  <si>
    <t>商品C</t>
  </si>
  <si>
    <t>未決済支出取引・単一行</t>
  </si>
  <si>
    <t>キャンペーンC</t>
  </si>
  <si>
    <t>値引C</t>
  </si>
  <si>
    <t>課対仕返10%</t>
  </si>
  <si>
    <t>プロジェクトC</t>
  </si>
  <si>
    <t>freee銀行</t>
  </si>
  <si>
    <t>決済済み支出取引・複数行</t>
  </si>
  <si>
    <t>課対仕入10%</t>
  </si>
  <si>
    <t>決済済み支出取引・単一行</t>
  </si>
  <si>
    <t>セグメント3</t>
  </si>
  <si>
    <t>セグメント2</t>
  </si>
  <si>
    <t>セグメント1</t>
  </si>
  <si>
    <t>決済金額</t>
  </si>
  <si>
    <t>決済口座</t>
  </si>
  <si>
    <t>決済日</t>
  </si>
  <si>
    <t>メモタグ（複数指定可、カンマ区切り）</t>
  </si>
  <si>
    <t>部門</t>
  </si>
  <si>
    <t>品目</t>
  </si>
  <si>
    <t>税額</t>
  </si>
  <si>
    <t>税計算区分</t>
  </si>
  <si>
    <t>金額</t>
  </si>
  <si>
    <t>税区分</t>
  </si>
  <si>
    <t>勘定科目</t>
  </si>
  <si>
    <t>取引先コード</t>
  </si>
  <si>
    <t>取引先</t>
  </si>
  <si>
    <t>決済期日</t>
  </si>
  <si>
    <t>管理番号</t>
  </si>
  <si>
    <t>収支区分</t>
  </si>
  <si>
    <t>売上戻り高</t>
  </si>
  <si>
    <t>売上値引高</t>
  </si>
  <si>
    <t>販売手数料</t>
  </si>
  <si>
    <t>荷造運賃</t>
  </si>
  <si>
    <t>広告宣伝費</t>
  </si>
  <si>
    <t>地代家賃</t>
  </si>
  <si>
    <t>諸会費</t>
  </si>
  <si>
    <t>支払手数料</t>
  </si>
  <si>
    <t>仮払金</t>
  </si>
  <si>
    <t>Amazon出品アカウント</t>
  </si>
  <si>
    <t>商品</t>
  </si>
  <si>
    <t>元金額</t>
    <rPh sb="0" eb="1">
      <t>ゲン</t>
    </rPh>
    <rPh sb="1" eb="3">
      <t>キンガク</t>
    </rPh>
    <phoneticPr fontId="18"/>
  </si>
  <si>
    <t>為替レート</t>
    <rPh sb="0" eb="2">
      <t>カワセ</t>
    </rPh>
    <phoneticPr fontId="18"/>
  </si>
  <si>
    <t>中国国内送料</t>
  </si>
  <si>
    <t>ESPRIME</t>
  </si>
  <si>
    <t>表示名（決算書）</t>
  </si>
  <si>
    <t>小分類</t>
  </si>
  <si>
    <t>中分類</t>
  </si>
  <si>
    <t>大分類</t>
  </si>
  <si>
    <t>収入取引相手方勘定科目</t>
  </si>
  <si>
    <t>支出取引相手方勘定科目</t>
  </si>
  <si>
    <t>ショートカット1</t>
  </si>
  <si>
    <t>ショートカット2</t>
  </si>
  <si>
    <t>入力候補</t>
  </si>
  <si>
    <t>現金・預金</t>
  </si>
  <si>
    <t>流動資産</t>
  </si>
  <si>
    <t>資産</t>
  </si>
  <si>
    <t>未収入金</t>
  </si>
  <si>
    <t>未払金</t>
  </si>
  <si>
    <t>GENKIN</t>
  </si>
  <si>
    <t>YES</t>
  </si>
  <si>
    <t>楽天銀行（個人ビジネス） 239 スネア支店 普通 ***8237</t>
  </si>
  <si>
    <t>その他預金</t>
  </si>
  <si>
    <t>THE直行便</t>
  </si>
  <si>
    <t>PayPay銀行 005 普通 ***6264</t>
  </si>
  <si>
    <t>楽天銀行</t>
  </si>
  <si>
    <t>未払費用</t>
  </si>
  <si>
    <t>YP</t>
  </si>
  <si>
    <t>PayPay銀行</t>
  </si>
  <si>
    <t>売上債権</t>
  </si>
  <si>
    <t>UKETORI</t>
  </si>
  <si>
    <t>不渡手形</t>
  </si>
  <si>
    <t>FUWATARI</t>
  </si>
  <si>
    <t>URIKAKE</t>
  </si>
  <si>
    <t>MISHUUNY</t>
  </si>
  <si>
    <t>有価証券</t>
  </si>
  <si>
    <t>YUUKASHO</t>
  </si>
  <si>
    <t>開業費</t>
  </si>
  <si>
    <t>繰延資産</t>
  </si>
  <si>
    <t>課対仕入</t>
  </si>
  <si>
    <t>KAIGYOU</t>
  </si>
  <si>
    <t>権利金</t>
  </si>
  <si>
    <t>KENRIKIN</t>
  </si>
  <si>
    <t>棚卸資産</t>
  </si>
  <si>
    <t>SHOUHIN</t>
  </si>
  <si>
    <t>製品</t>
  </si>
  <si>
    <t>SEIHIN</t>
  </si>
  <si>
    <t>半製品</t>
  </si>
  <si>
    <t>HANSEIHI</t>
  </si>
  <si>
    <t>仕掛品</t>
  </si>
  <si>
    <t>SHIKAKAR</t>
  </si>
  <si>
    <t>原材料</t>
  </si>
  <si>
    <t>GENZAIRY</t>
  </si>
  <si>
    <t>貯蔵品</t>
  </si>
  <si>
    <t>CHOZOUHI</t>
  </si>
  <si>
    <t>副産物作業くず</t>
  </si>
  <si>
    <t>FUKUSAN</t>
  </si>
  <si>
    <t>事業主貸</t>
  </si>
  <si>
    <t>JIGYOU</t>
  </si>
  <si>
    <t>資産譲渡損</t>
  </si>
  <si>
    <t>SHISANJO</t>
  </si>
  <si>
    <t>[確]支払医療費</t>
  </si>
  <si>
    <t>SHIHAIRYOU</t>
  </si>
  <si>
    <t>NO</t>
  </si>
  <si>
    <t>[確]社会保険料</t>
  </si>
  <si>
    <t>SHAHO</t>
  </si>
  <si>
    <t>[確]小規模企業等掛金</t>
  </si>
  <si>
    <t>SHOKIBO</t>
  </si>
  <si>
    <t>前払金</t>
  </si>
  <si>
    <t>他流動資産</t>
  </si>
  <si>
    <t>MAEBARAI</t>
  </si>
  <si>
    <t>前払費用</t>
  </si>
  <si>
    <t>立替金</t>
  </si>
  <si>
    <t>TATEKAE</t>
  </si>
  <si>
    <t>KARIBARA</t>
  </si>
  <si>
    <t>建設仮勘定</t>
  </si>
  <si>
    <t>KENSETSU</t>
  </si>
  <si>
    <t>短期貸付金</t>
  </si>
  <si>
    <t>TANKIKAS</t>
  </si>
  <si>
    <t>未収収益</t>
  </si>
  <si>
    <t>MISHUUSH</t>
  </si>
  <si>
    <t>預け金</t>
  </si>
  <si>
    <t>貸付金</t>
  </si>
  <si>
    <t>AZUKEKIN</t>
  </si>
  <si>
    <t>仮払消費税</t>
  </si>
  <si>
    <t>複合</t>
  </si>
  <si>
    <t>諸口</t>
  </si>
  <si>
    <t>FUKUGO</t>
  </si>
  <si>
    <t>Amazon仮勘定</t>
  </si>
  <si>
    <t>未確定勘定</t>
  </si>
  <si>
    <t>未設定</t>
  </si>
  <si>
    <t>未選択</t>
  </si>
  <si>
    <t>MIKAKUTE</t>
  </si>
  <si>
    <t>建物</t>
  </si>
  <si>
    <t>有形固定資産</t>
  </si>
  <si>
    <t>固定資産</t>
  </si>
  <si>
    <t>TATEMONO</t>
  </si>
  <si>
    <t>附属設備</t>
  </si>
  <si>
    <t>FUZOKUSE</t>
  </si>
  <si>
    <t>構築物</t>
  </si>
  <si>
    <t>KOUCHIKU</t>
  </si>
  <si>
    <t>機械装置</t>
  </si>
  <si>
    <t>KIKAISO</t>
  </si>
  <si>
    <t>車両運搬具</t>
  </si>
  <si>
    <t>SHARYOU</t>
  </si>
  <si>
    <t>工具器具備品</t>
  </si>
  <si>
    <t>KOUGUKI</t>
  </si>
  <si>
    <t>土地</t>
  </si>
  <si>
    <t>TOCHI</t>
  </si>
  <si>
    <t>一括償却資産</t>
  </si>
  <si>
    <t>IKKATSUS</t>
  </si>
  <si>
    <t>電話加入権</t>
  </si>
  <si>
    <t>その他固定資産</t>
  </si>
  <si>
    <t>無形固定資産</t>
  </si>
  <si>
    <t>DENWA</t>
  </si>
  <si>
    <t>施設利用権</t>
  </si>
  <si>
    <t>SHISETSU</t>
  </si>
  <si>
    <t>工業所有権</t>
  </si>
  <si>
    <t>KOUGYOU</t>
  </si>
  <si>
    <t>借地権</t>
  </si>
  <si>
    <t>SHAKUCHI</t>
  </si>
  <si>
    <t>ソフトウェア</t>
  </si>
  <si>
    <t>SOFUTO</t>
  </si>
  <si>
    <t>投資有価証券</t>
  </si>
  <si>
    <t>その他資産</t>
  </si>
  <si>
    <t>投資等</t>
  </si>
  <si>
    <t>TOUSHIYU</t>
  </si>
  <si>
    <t>出資金</t>
  </si>
  <si>
    <t>SHUSSHI</t>
  </si>
  <si>
    <t>敷金</t>
  </si>
  <si>
    <t>SHIKIKIN</t>
  </si>
  <si>
    <t>長期貸付金</t>
  </si>
  <si>
    <t>CHOUKIKA</t>
  </si>
  <si>
    <t>破産更生債権</t>
  </si>
  <si>
    <t>HASANKOU</t>
  </si>
  <si>
    <t>長期前払費用</t>
  </si>
  <si>
    <t>CHOUKIMA</t>
  </si>
  <si>
    <t>長期固定性預金</t>
  </si>
  <si>
    <t>CHOUKIKO</t>
  </si>
  <si>
    <t>差入保証金</t>
  </si>
  <si>
    <t>SASHIIRE</t>
  </si>
  <si>
    <t>預託金</t>
  </si>
  <si>
    <t>YOTAKU</t>
  </si>
  <si>
    <t>支払手形</t>
  </si>
  <si>
    <t>仕入債務</t>
  </si>
  <si>
    <t>流動負債</t>
  </si>
  <si>
    <t>負債</t>
  </si>
  <si>
    <t>SHIHARAI</t>
  </si>
  <si>
    <t>設備支払手形</t>
  </si>
  <si>
    <t>SETSUBI</t>
  </si>
  <si>
    <t>割引手形</t>
  </si>
  <si>
    <t>WARIBIKI</t>
  </si>
  <si>
    <t>裏書手形</t>
  </si>
  <si>
    <t>URAGAKI</t>
  </si>
  <si>
    <t>KAIKAKE</t>
  </si>
  <si>
    <t>短期借入金</t>
  </si>
  <si>
    <t>他流動負債</t>
  </si>
  <si>
    <t>TANKIKAR</t>
  </si>
  <si>
    <t>MIHARAIK</t>
  </si>
  <si>
    <t>MIHARAIH</t>
  </si>
  <si>
    <t>未払消費税</t>
  </si>
  <si>
    <t>MIHARAIS</t>
  </si>
  <si>
    <t>PayPay銀行VISAデビット</t>
  </si>
  <si>
    <t>前受金</t>
  </si>
  <si>
    <t>MAEUKEKI</t>
  </si>
  <si>
    <t>NTTファイナンスBizカード</t>
  </si>
  <si>
    <t>前受収益</t>
  </si>
  <si>
    <t>MAEUKESH</t>
  </si>
  <si>
    <t>仮受金</t>
  </si>
  <si>
    <t>KARIUKEK</t>
  </si>
  <si>
    <t>預り保証金</t>
  </si>
  <si>
    <t>AZUKARIH</t>
  </si>
  <si>
    <t>預り金</t>
  </si>
  <si>
    <t>AZUKARIK</t>
  </si>
  <si>
    <t>保証金・敷金</t>
  </si>
  <si>
    <t>HOSHOKINSHIKIKIN</t>
  </si>
  <si>
    <t>貸倒引当金</t>
  </si>
  <si>
    <t>KASHIDAO</t>
  </si>
  <si>
    <t>仮受消費税</t>
  </si>
  <si>
    <t>課税売上</t>
  </si>
  <si>
    <t>KARIUKES</t>
  </si>
  <si>
    <t>長期借入金</t>
  </si>
  <si>
    <t>固定負債</t>
  </si>
  <si>
    <t>長期未払金</t>
  </si>
  <si>
    <t>CHOUKIMI</t>
  </si>
  <si>
    <t>事業主借</t>
  </si>
  <si>
    <t>受取利息</t>
  </si>
  <si>
    <t>UKETORIR</t>
  </si>
  <si>
    <t>受取配当金</t>
  </si>
  <si>
    <t>UKETORIH</t>
  </si>
  <si>
    <t>[確]利子収入</t>
  </si>
  <si>
    <t>RISHISHU</t>
  </si>
  <si>
    <t>[確]配当収入</t>
  </si>
  <si>
    <t>HAITOSHU</t>
  </si>
  <si>
    <t>[確]給与収入</t>
  </si>
  <si>
    <t>KYUYOSHU</t>
  </si>
  <si>
    <t>[確]雑収入（公的年金等）</t>
  </si>
  <si>
    <t>ZATHUSHUP</t>
  </si>
  <si>
    <t>[確]雑収入（その他）</t>
  </si>
  <si>
    <t>ZATHUSHUO</t>
  </si>
  <si>
    <t>[確]総合譲渡収入（短期）</t>
  </si>
  <si>
    <t>SOUJYOSHUS</t>
  </si>
  <si>
    <t>[確]総合譲渡収入（長期）</t>
  </si>
  <si>
    <t>SOUJYOSHUL</t>
  </si>
  <si>
    <t>[確]一時収入</t>
  </si>
  <si>
    <t>ITHIJISHU</t>
  </si>
  <si>
    <t>[確]保険金補填（医療費）</t>
  </si>
  <si>
    <t>HOKENKIN</t>
  </si>
  <si>
    <t>元入金</t>
  </si>
  <si>
    <t>資本</t>
  </si>
  <si>
    <t>MOTOIRE</t>
  </si>
  <si>
    <t>損益</t>
  </si>
  <si>
    <t>税引前所得処分</t>
  </si>
  <si>
    <t>振替</t>
  </si>
  <si>
    <t>収入金額</t>
  </si>
  <si>
    <t>URIAGE</t>
  </si>
  <si>
    <t>課税売返</t>
  </si>
  <si>
    <t>URIAGENE</t>
  </si>
  <si>
    <t>URIAGEMO</t>
  </si>
  <si>
    <t>家事消費等</t>
  </si>
  <si>
    <t>KAJISHOU</t>
  </si>
  <si>
    <t>事業分量配当金</t>
  </si>
  <si>
    <t>JIGYOUBU</t>
  </si>
  <si>
    <t>ZATSUSHU</t>
  </si>
  <si>
    <t>為替差損益</t>
  </si>
  <si>
    <t>仕入割引</t>
  </si>
  <si>
    <t>課対仕返</t>
  </si>
  <si>
    <t>SHIIREWA</t>
  </si>
  <si>
    <t>前年度繰越収益</t>
  </si>
  <si>
    <t>ZENNEN</t>
  </si>
  <si>
    <t>期首商品棚卸高</t>
  </si>
  <si>
    <t>売上原価</t>
  </si>
  <si>
    <t>KISHUSHO</t>
  </si>
  <si>
    <t>SHIIREDA</t>
  </si>
  <si>
    <t>仕入値引高</t>
  </si>
  <si>
    <t>SHIIRENE</t>
  </si>
  <si>
    <t>仕入戻し高</t>
  </si>
  <si>
    <t>SHIIREMO</t>
  </si>
  <si>
    <t>期末商品棚卸高</t>
  </si>
  <si>
    <t>KIMATSUS</t>
  </si>
  <si>
    <t>前年度繰越費用</t>
  </si>
  <si>
    <t>期首製品棚卸高</t>
  </si>
  <si>
    <t>製品売上原価</t>
  </si>
  <si>
    <t>KISHUSEI</t>
  </si>
  <si>
    <t>期末製品棚卸高</t>
  </si>
  <si>
    <t>研修費</t>
  </si>
  <si>
    <t>その他経費</t>
  </si>
  <si>
    <t>経費</t>
  </si>
  <si>
    <t>KENSHU</t>
  </si>
  <si>
    <t>租税公課</t>
  </si>
  <si>
    <t>SOZEI</t>
  </si>
  <si>
    <t>NIZUKURI</t>
  </si>
  <si>
    <t>運賃</t>
  </si>
  <si>
    <t>UNCHIN</t>
  </si>
  <si>
    <t>水道光熱費</t>
  </si>
  <si>
    <t>SUIDOU</t>
  </si>
  <si>
    <t>燃料費</t>
  </si>
  <si>
    <t>NENRYOU</t>
  </si>
  <si>
    <t>旅費交通費</t>
  </si>
  <si>
    <t>RYOHI</t>
  </si>
  <si>
    <t>通信費</t>
  </si>
  <si>
    <t>TSUUSHIN</t>
  </si>
  <si>
    <t>KOUKOKU</t>
  </si>
  <si>
    <t>HANBAITE</t>
  </si>
  <si>
    <t>販売促進費</t>
  </si>
  <si>
    <t>HANBAISO</t>
  </si>
  <si>
    <t>交際費</t>
  </si>
  <si>
    <t>KOUSAI</t>
  </si>
  <si>
    <t>保険料</t>
  </si>
  <si>
    <t>HOKEN</t>
  </si>
  <si>
    <t>SHUUZEN</t>
  </si>
  <si>
    <t>消耗品費</t>
  </si>
  <si>
    <t>SHOUMOU</t>
  </si>
  <si>
    <t>事務用品費</t>
  </si>
  <si>
    <t>JIMUYOU</t>
  </si>
  <si>
    <t>GENKASHO</t>
  </si>
  <si>
    <t>長期前払費用償却</t>
  </si>
  <si>
    <t>繰延資産償却</t>
  </si>
  <si>
    <t>KURINOBE</t>
  </si>
  <si>
    <t>福利厚生費</t>
  </si>
  <si>
    <t>FUKURI</t>
  </si>
  <si>
    <t>法定福利費</t>
  </si>
  <si>
    <t>HOUTEI</t>
  </si>
  <si>
    <t>退職金掛金</t>
  </si>
  <si>
    <t>TAISHOKU</t>
  </si>
  <si>
    <t>給料手当</t>
  </si>
  <si>
    <t>KYUURYOU</t>
  </si>
  <si>
    <t>賞与</t>
  </si>
  <si>
    <t>SHOUYO</t>
  </si>
  <si>
    <t>雑給</t>
  </si>
  <si>
    <t>ZAKKYUU</t>
  </si>
  <si>
    <t>退職金</t>
  </si>
  <si>
    <t>外注費</t>
  </si>
  <si>
    <t>GAICHUU</t>
  </si>
  <si>
    <t>支払利息</t>
  </si>
  <si>
    <t>割引料</t>
  </si>
  <si>
    <t>CHIDAI</t>
  </si>
  <si>
    <t>貸倒損失</t>
  </si>
  <si>
    <t>課税売倒</t>
  </si>
  <si>
    <t>Amazon手数料</t>
  </si>
  <si>
    <t>賃借料</t>
  </si>
  <si>
    <t>リース料</t>
  </si>
  <si>
    <t>CHINSHAK</t>
  </si>
  <si>
    <t>RI-SU</t>
  </si>
  <si>
    <t>車両費</t>
  </si>
  <si>
    <t>採用教育費</t>
  </si>
  <si>
    <t>SAIYOU</t>
  </si>
  <si>
    <t>会議費</t>
  </si>
  <si>
    <t>KAIGI</t>
  </si>
  <si>
    <t>新聞図書費</t>
  </si>
  <si>
    <t>SHINBUN</t>
  </si>
  <si>
    <t>SHOKAIHI</t>
  </si>
  <si>
    <t>取材費</t>
  </si>
  <si>
    <t>SHUZAIHI</t>
  </si>
  <si>
    <t>売上割引</t>
  </si>
  <si>
    <t>雑費</t>
  </si>
  <si>
    <t>URIAGEWA</t>
  </si>
  <si>
    <t>KENKYU</t>
  </si>
  <si>
    <t>雑損失</t>
  </si>
  <si>
    <t>ZATSUSON</t>
  </si>
  <si>
    <t>研修採用費</t>
  </si>
  <si>
    <t>ZAPPI</t>
  </si>
  <si>
    <t>貸倒引当金戻入</t>
  </si>
  <si>
    <t>繰戻額等</t>
  </si>
  <si>
    <t>専従者給与</t>
  </si>
  <si>
    <t>繰入額等</t>
  </si>
  <si>
    <t>SENJUU</t>
  </si>
  <si>
    <t>貸倒引当金繰入</t>
  </si>
  <si>
    <t>補助科目優先タグ</t>
  </si>
  <si>
    <r>
      <rPr>
        <sz val="10"/>
        <color rgb="FF000000"/>
        <rFont val="ＭＳ Ｐゴシック"/>
        <family val="2"/>
        <charset val="128"/>
      </rPr>
      <t>元残高</t>
    </r>
    <rPh sb="0" eb="1">
      <t>ゲン</t>
    </rPh>
    <rPh sb="1" eb="3">
      <t>ザンダカ</t>
    </rPh>
    <phoneticPr fontId="18"/>
  </si>
  <si>
    <t>円残高</t>
    <rPh sb="0" eb="1">
      <t>エン</t>
    </rPh>
    <rPh sb="1" eb="3">
      <t>ザンダカ</t>
    </rPh>
    <phoneticPr fontId="18"/>
  </si>
  <si>
    <t>代行会社現預金シートの元残高列に、元金額列を日付順に累積する数式を入れてほしい。行の並び替えに依存しないロジックで。</t>
  </si>
  <si>
    <t>P列（元残高）にSUMPRODUCT数式を設定</t>
  </si>
  <si>
    <t>数式: =-SUMPRODUCT(((F$2:F$138&lt;Fn)+(F$2:F$138=Fn)*(ROW(J$2:J$138)&lt;=ROW(Jn)))*J$2:J$138)。日付が自分より前の行＋同日付で行番号が自分以下の行のJ列合計を符号反転。ROW()で同日付内の順序を保証。行の並び替えに依存しない設計。</t>
  </si>
  <si>
    <t>P2:P138全行に数式設定完了。P2=29083.9（入金）→P138=1969.8（最終残高）。検算OK。</t>
  </si>
  <si>
    <t>元残高の数式を決済口座（C列）ごとに分けて計算するよう修正してほしい</t>
  </si>
  <si>
    <t>P列の数式にC列一致条件を追加</t>
  </si>
  <si>
    <t>数式: =-SUMPRODUCT((C$2:C$138=C2)*((F$2:F$138&lt;F2)+(F$2:F$138=F2)*(ROW(J$2:J$138)&lt;=ROW(J2)))*J$2:J$138)。決済口座が同じ行のみを対象に残高を累積するよう(C$2:C$138=C2)条件を追加。現在は全行ESPRIMEのため結果は同一だが、別の口座が追加された場合に自動的に口座別に分離される。</t>
  </si>
  <si>
    <t>P2:P138全行に更新済。計算結果は前回と同一（全行ESPRIME）。P2=29083.9、P138=1969.8。</t>
  </si>
  <si>
    <t>対象外</t>
    <phoneticPr fontId="18"/>
  </si>
  <si>
    <t>円残高列も同じロジックで金額列の値で残高を計算してほしい</t>
  </si>
  <si>
    <t>N列（円残高）にSUMPRODUCT数式を設定</t>
  </si>
  <si>
    <t>数式: =-SUMPRODUCT((C$2:C$139=C2)*((D$2:D$139&lt;D2)+(D$2:D$139=D2)*(ROW(J$2:J$139)&lt;=ROW(J2)))*J$2:J$139)。列削除により日付=D列、金額=J列、決済口座=C列に変更。元残高と同じロジックで口座別・日付順に累積。</t>
  </si>
  <si>
    <t>N2:N139全行に設定完了。N2=580,224、N138=20,520。検算OK。</t>
  </si>
  <si>
    <t>支出</t>
    <phoneticPr fontId="18"/>
  </si>
  <si>
    <t>PO-0006</t>
    <phoneticPr fontId="18"/>
  </si>
  <si>
    <t>PO-0009</t>
    <phoneticPr fontId="18"/>
  </si>
  <si>
    <t>PO-0008</t>
    <phoneticPr fontId="18"/>
  </si>
  <si>
    <r>
      <rPr>
        <sz val="10"/>
        <color rgb="FF000000"/>
        <rFont val="ＭＳ Ｐゴシック"/>
        <family val="2"/>
        <charset val="128"/>
      </rPr>
      <t>配賦</t>
    </r>
    <r>
      <rPr>
        <sz val="10"/>
        <color rgb="FF000000"/>
        <rFont val="Arial"/>
        <family val="2"/>
      </rPr>
      <t>ID</t>
    </r>
    <rPh sb="0" eb="2">
      <t>ハイフ</t>
    </rPh>
    <phoneticPr fontId="18"/>
  </si>
  <si>
    <t>メモタグ</t>
    <phoneticPr fontId="18"/>
  </si>
  <si>
    <t>alloc_shipment</t>
  </si>
  <si>
    <t>alloc_po</t>
  </si>
  <si>
    <t>メモ</t>
    <phoneticPr fontId="18"/>
  </si>
  <si>
    <t>為替差損益</t>
    <phoneticPr fontId="18"/>
  </si>
  <si>
    <t>食事用スタイサンプル 工場1 {16.4元 * 19.39円/元, PO-0004}</t>
  </si>
  <si>
    <t>食事用スタイサンプル 工場2 {15.8元 * 19.39円/元, PO-0004}</t>
  </si>
  <si>
    <t>食事用スタイサンプル 工場3 {15.1元 * 19.39円/元, PO-0004}</t>
  </si>
  <si>
    <t>食事用スタイサンプル 工場4 {17元 * 19.66円/元, PO-0004}</t>
  </si>
  <si>
    <t>食事用スタイサンプル 工場6 {16.2元 * 19.39円/元, PO-0004}</t>
  </si>
  <si>
    <t>食事用スタイサンプル 工場7 {13.8元 * 19.39円/元, PO-0004}</t>
  </si>
  <si>
    <t>食事用スタイサンプル 工場8 {18.6元 * 19.39円/元, PO-0004}</t>
  </si>
  <si>
    <t>食事用スタイサンプル 工場9 {34.8元 * 19.39円/元, PO-0004}</t>
  </si>
  <si>
    <t>食事用スタイサンプル 工場10 {19元 * 19.39円/元, PO-0004}</t>
  </si>
  <si>
    <t>食事用スタイサンプル 工場11 {12.8元 * 19.39円/元, PO-0004}</t>
  </si>
  <si>
    <t>食事用スタイサンプル 工場12 {19元 * 19.39円/元, PO-0004}</t>
  </si>
  <si>
    <t>洗濯タグサンプル500個 {125元 * 20.55円/元, PO-0005}</t>
  </si>
  <si>
    <t>食事用スタイサンプル {200元 * 20.7円/元, PO-0006}</t>
  </si>
  <si>
    <t>洗濯タグを工場に発送する国内送料 {13元 * 20.7円/元, PO-0006}</t>
  </si>
  <si>
    <t>洗濯タグ(pu) 500個 本発注 {125元 * 20.15円/元, PO-0007}</t>
  </si>
  <si>
    <t>ジュエリーパッケージ箱サンプル {39元 * 20.92円/元, PO-0009}</t>
  </si>
  <si>
    <t>ジュエリーパッケージ箱サンプル {6.4元 * 20.92円/元, PO-0009}</t>
  </si>
  <si>
    <t>ジュエリーパッケージ箱サンプル {8元 * 20.92円/元, PO-0009}</t>
  </si>
  <si>
    <t>ジュエリーパッケージ箱サンプル {82元 * 20.92円/元, PO-0009}</t>
  </si>
  <si>
    <t>ジュエリーパッケージ箱サンプル {7.2元 * 20.92円/元, PO-0009}</t>
  </si>
  <si>
    <t>食事エプロンのOEMサンプル {215元 * 20.92円/元, PO-0008}</t>
  </si>
  <si>
    <t>洗濯タグを工場に発送する国内送料 {18元 * 20.95円/元, PO-0008}</t>
  </si>
  <si>
    <t>お食事エプロンPU袖なし 本発注 {2655元 * 21.06円/元, PO-0011}</t>
  </si>
  <si>
    <t>サンプル国際送料 OCS お食事エプロンPU袖なし 2024.4.3 {126元 * 21.68円/元, }</t>
  </si>
  <si>
    <t>サンプル国際送料 OCS ジュエリーパッケージ箱サンプル 2024.4.3 {58元 * 21.68円/元, }</t>
  </si>
  <si>
    <t>検品梱包</t>
  </si>
  <si>
    <t>PO-0010</t>
    <phoneticPr fontId="18"/>
  </si>
  <si>
    <t>26016154592</t>
    <phoneticPr fontId="18"/>
  </si>
  <si>
    <t>ジュエリーパッケージ箱OEM サンプル {1030元 * 21.48円/元, PO-0010}</t>
  </si>
  <si>
    <t>お食事エプロンPU袖なし 13個 0.2h*25元 {5元 * 21.66円/元, PO-0011}</t>
  </si>
  <si>
    <t>食事エプロン 3個 返金 {-31.5元 * 21.56円/元, PO-0011}</t>
  </si>
  <si>
    <t>お食事エプロンPU袖なし 150個 {1595元 * 22.05円/元, PO-0012}</t>
  </si>
  <si>
    <t>サンプル国際送料 ジュエリーパッケージ箱OEM　500個　2024.6.17 {390元 * 22.2円/元, 26019113595}</t>
  </si>
  <si>
    <r>
      <rPr>
        <sz val="10"/>
        <color rgb="FF0000FF"/>
        <rFont val="ＭＳ Ｐゴシック"/>
        <family val="2"/>
        <charset val="128"/>
      </rPr>
      <t>サンプル国際送料　</t>
    </r>
    <r>
      <rPr>
        <sz val="10"/>
        <color rgb="FF0000FF"/>
        <rFont val="Arial"/>
        <family val="2"/>
      </rPr>
      <t xml:space="preserve">OCS </t>
    </r>
    <r>
      <rPr>
        <sz val="10"/>
        <color rgb="FF0000FF"/>
        <rFont val="ＭＳ Ｐゴシック"/>
        <family val="2"/>
        <charset val="128"/>
      </rPr>
      <t>食事用スタイ</t>
    </r>
    <r>
      <rPr>
        <sz val="10"/>
        <color rgb="FF0000FF"/>
        <rFont val="Arial"/>
        <family val="2"/>
      </rPr>
      <t xml:space="preserve"> 2023.8.14 {116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20.08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26016154592}</t>
    </r>
    <phoneticPr fontId="18"/>
  </si>
  <si>
    <r>
      <rPr>
        <sz val="10"/>
        <color rgb="FF0000FF"/>
        <rFont val="ＭＳ ゴシック"/>
        <family val="3"/>
        <charset val="128"/>
      </rPr>
      <t>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9</t>
    </r>
    <r>
      <rPr>
        <sz val="10"/>
        <color rgb="FF0000FF"/>
        <rFont val="ＭＳ ゴシック"/>
        <family val="3"/>
        <charset val="128"/>
      </rPr>
      <t>ｈ</t>
    </r>
    <r>
      <rPr>
        <sz val="10"/>
        <color rgb="FF0000FF"/>
        <rFont val="Arial"/>
        <family val="2"/>
      </rPr>
      <t xml:space="preserve"> {225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21.48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PO-0011}</t>
    </r>
    <phoneticPr fontId="18"/>
  </si>
  <si>
    <r>
      <rPr>
        <sz val="10"/>
        <color rgb="FF0000FF"/>
        <rFont val="ＭＳ ゴシック"/>
        <family val="3"/>
        <charset val="128"/>
      </rPr>
      <t>サンプル検品梱包 ジュエリーパッケージ箱</t>
    </r>
    <r>
      <rPr>
        <sz val="10"/>
        <color rgb="FF0000FF"/>
        <rFont val="Arial"/>
        <family val="2"/>
      </rPr>
      <t xml:space="preserve">OEM </t>
    </r>
    <r>
      <rPr>
        <sz val="10"/>
        <color rgb="FF0000FF"/>
        <rFont val="ＭＳ ゴシック"/>
        <family val="3"/>
        <charset val="128"/>
      </rPr>
      <t>サンプル</t>
    </r>
    <r>
      <rPr>
        <sz val="10"/>
        <color rgb="FF0000FF"/>
        <rFont val="Arial"/>
        <family val="2"/>
      </rPr>
      <t xml:space="preserve"> 1.8</t>
    </r>
    <r>
      <rPr>
        <sz val="10"/>
        <color rgb="FF0000FF"/>
        <rFont val="ＭＳ ゴシック"/>
        <family val="3"/>
        <charset val="128"/>
      </rPr>
      <t>ｈ</t>
    </r>
    <r>
      <rPr>
        <sz val="10"/>
        <color rgb="FF0000FF"/>
        <rFont val="Arial"/>
        <family val="2"/>
      </rPr>
      <t>*25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{45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21.66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PO-0010}</t>
    </r>
    <rPh sb="4" eb="6">
      <t>ケンピン</t>
    </rPh>
    <rPh sb="6" eb="8">
      <t>コンポウ</t>
    </rPh>
    <phoneticPr fontId="18"/>
  </si>
  <si>
    <t>洗濯タグ 本発注 2000個 {280元 * 21.69円/元, PO-0013}</t>
  </si>
  <si>
    <t>お食事エプロンPU袖なし　6色×50個 {3185元 * 21.69円/元, PO-0014}</t>
  </si>
  <si>
    <t>お食事エプロンPU袖なし　150個 検品17h {425元 * 21.69円/元, PO-0012}</t>
  </si>
  <si>
    <t>洗濯タグを工場に発送する国内送料 300個 {8元 * 21.41円/元, PO-0014}</t>
  </si>
  <si>
    <t>お食事エプロンPU袖なし 検品 1ｈ {25元 * 20.96円/元, PO-0014}</t>
  </si>
  <si>
    <t>お食事エプロンPU袖なし 検品 9ｈ {225元 * 20.96円/元, PO-0014}</t>
  </si>
  <si>
    <t>お食事エプロンPU袖なし 検品 9ｈ {225元 * 20.37円/元, PO-0014}</t>
  </si>
  <si>
    <t>お食事エプロンPU袖なし 写真撮影 6枚 {216元 * 20.37円/元, }</t>
  </si>
  <si>
    <t>往復国内送料 お食事エプロンPU袖なし 写真6枚 {24元 * 20.63円/元, }</t>
  </si>
  <si>
    <t>食事エプロンPU袖なし 650個 {6080元 * 20.63円/元, PO-0015}</t>
  </si>
  <si>
    <t>お食事エプロンPU袖なし 検品 36ｈ {900元 * 20.4円/元, PO-0015}</t>
  </si>
  <si>
    <t>PO-0016お食事エプロン 1200個 {12120元 * 20.02円/元, PO-0016}</t>
  </si>
  <si>
    <r>
      <rPr>
        <sz val="10"/>
        <color rgb="FF000000"/>
        <rFont val="ＭＳ Ｐゴシック"/>
        <family val="2"/>
        <charset val="128"/>
      </rPr>
      <t>円残高</t>
    </r>
    <r>
      <rPr>
        <sz val="10"/>
        <color rgb="FF000000"/>
        <rFont val="Arial"/>
        <family val="2"/>
      </rPr>
      <t>_</t>
    </r>
    <r>
      <rPr>
        <sz val="10"/>
        <color rgb="FF000000"/>
        <rFont val="ＭＳ Ｐゴシック"/>
        <family val="2"/>
        <charset val="128"/>
      </rPr>
      <t>時価</t>
    </r>
    <rPh sb="0" eb="3">
      <t>エンザンダカ</t>
    </rPh>
    <rPh sb="4" eb="6">
      <t>ジカ</t>
    </rPh>
    <phoneticPr fontId="18"/>
  </si>
  <si>
    <t>為替差損益</t>
    <rPh sb="0" eb="3">
      <t>カワセサ</t>
    </rPh>
    <rPh sb="3" eb="5">
      <t>ソンエキ</t>
    </rPh>
    <phoneticPr fontId="18"/>
  </si>
  <si>
    <t>PO-0018</t>
    <phoneticPr fontId="18"/>
  </si>
  <si>
    <t>マザーズバッグ サンプル {227元 * 20.02円/元, PO-0018}</t>
  </si>
  <si>
    <t>お食事エプロンPU袖なし 検品 6h {150元 * 20.28円/元, PO-0015}</t>
  </si>
  <si>
    <t>お食事エプロンPU袖なし 検品 6ｈ {150元 * 21.05円/元, PO-0016}</t>
  </si>
  <si>
    <t>お食事エプロンPU袖なし 検品 19ｈ {475元 * 21.05円/元, PO-0016}</t>
  </si>
  <si>
    <t>お食事エプロンPU袖なし 検品 18ｈ {450元 * 21.05円/元, PO-0016}</t>
  </si>
  <si>
    <t>お食事エプロンPU袖なし 検品 9ｈ {225元 * 21.05円/元, PO-0016}</t>
  </si>
  <si>
    <t>お食事エプロンPU袖なし 検品 1ｈ {25元 * 21.05円/元, PO-0016}</t>
  </si>
  <si>
    <t>お食事エプロンPU袖なし 不良品返品の国内送料 {23元 * 21.48円/元, PO-0016}</t>
  </si>
  <si>
    <t>サンプル国際送料 OCS マザーズリュック 2024.10.23 {235元 * 21.48円/元, }</t>
  </si>
  <si>
    <r>
      <rPr>
        <sz val="10"/>
        <color rgb="FF0000FF"/>
        <rFont val="ＭＳ ゴシック"/>
        <family val="3"/>
        <charset val="128"/>
      </rPr>
      <t>洗濯タグ</t>
    </r>
    <r>
      <rPr>
        <sz val="10"/>
        <color rgb="FF0000FF"/>
        <rFont val="Arial"/>
        <family val="2"/>
      </rPr>
      <t xml:space="preserve"> 2000</t>
    </r>
    <r>
      <rPr>
        <sz val="10"/>
        <color rgb="FF0000FF"/>
        <rFont val="ＭＳ ゴシック"/>
        <family val="3"/>
        <charset val="128"/>
      </rPr>
      <t>個</t>
    </r>
    <r>
      <rPr>
        <sz val="10"/>
        <color rgb="FF0000FF"/>
        <rFont val="Arial"/>
        <family val="2"/>
      </rPr>
      <t xml:space="preserve"> {280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20.02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PO-0017}</t>
    </r>
    <phoneticPr fontId="18"/>
  </si>
  <si>
    <r>
      <rPr>
        <sz val="10"/>
        <color rgb="FF0000FF"/>
        <rFont val="ＭＳ ゴシック"/>
        <family val="3"/>
        <charset val="128"/>
      </rPr>
      <t>洗濯タグを工場に発送する国内送料</t>
    </r>
    <r>
      <rPr>
        <sz val="10"/>
        <color rgb="FF0000FF"/>
        <rFont val="Arial"/>
        <family val="2"/>
      </rPr>
      <t xml:space="preserve"> {18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20.63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PO-0007}</t>
    </r>
    <phoneticPr fontId="18"/>
  </si>
  <si>
    <t>洗濯タグを工場に発送する国内送料 600個 {18元 * 21.45円/元, PO-0017}</t>
  </si>
  <si>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600</t>
    </r>
    <r>
      <rPr>
        <sz val="10"/>
        <color rgb="FF0000FF"/>
        <rFont val="ＭＳ ゴシック"/>
        <family val="3"/>
        <charset val="128"/>
      </rPr>
      <t>個</t>
    </r>
    <r>
      <rPr>
        <sz val="10"/>
        <color rgb="FF0000FF"/>
        <rFont val="Arial"/>
        <family val="2"/>
      </rPr>
      <t xml:space="preserve"> {6070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21.48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PO-0019}</t>
    </r>
    <phoneticPr fontId="18"/>
  </si>
  <si>
    <t>お食事エプロンPU袖なし 合計2箱 2024.11.8 {257元 * 20.67円/元, DQS2945758EQ}</t>
  </si>
  <si>
    <t>洗濯タグを工場に発送する国内送料 1200個 {18元 * 21.57円/元, PO-0017}</t>
  </si>
  <si>
    <t>26020203123</t>
    <phoneticPr fontId="18"/>
  </si>
  <si>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</t>
    </r>
    <r>
      <rPr>
        <sz val="10"/>
        <color rgb="FF0000FF"/>
        <rFont val="ＭＳ ゴシック"/>
        <family val="3"/>
        <charset val="128"/>
      </rPr>
      <t>検品</t>
    </r>
    <r>
      <rPr>
        <sz val="10"/>
        <color rgb="FF0000FF"/>
        <rFont val="Arial"/>
        <family val="2"/>
      </rPr>
      <t xml:space="preserve"> 4</t>
    </r>
    <r>
      <rPr>
        <sz val="10"/>
        <color rgb="FF0000FF"/>
        <rFont val="ＭＳ ゴシック"/>
        <family val="3"/>
        <charset val="128"/>
      </rPr>
      <t>ｈ</t>
    </r>
    <r>
      <rPr>
        <sz val="10"/>
        <color rgb="FF0000FF"/>
        <rFont val="Arial"/>
        <family val="2"/>
      </rPr>
      <t xml:space="preserve"> {100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21.63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PO-0019}</t>
    </r>
    <phoneticPr fontId="18"/>
  </si>
  <si>
    <t>お食事エプロンPU袖なし 返品分 検品 1ｈ {25元 * 21.63円/元, PO-0016}</t>
  </si>
  <si>
    <t>お食事エプロンPU袖なし 検品 2ｈ {50元 * 21.4円/元, PO-0019}</t>
  </si>
  <si>
    <t>お食事エプロンPU袖なし 返品分 検品 6ｈ {150元 * 21.4円/元, PO-0016}</t>
  </si>
  <si>
    <t>お食事エプロンPU袖なし 前回発注不良品保証 100枚分 {-1000元 * 21.17円/元, PO-0019}</t>
  </si>
  <si>
    <t>お食事エプロンを撮影会社へ発送 {12元 * 21.17円/元, }</t>
  </si>
  <si>
    <t>サンプル国際送料　OCS　お食事エプロンPU袖なし　PO-0016返品分9個+うさぎ4個+ユニコーン4個　2025.1.16 {116元 * 21.17円/元, PO-0016}</t>
  </si>
  <si>
    <t>お食事エプロンPU袖なし ユニコーンの写真1枚 {36元 * 21.17円/元, }</t>
  </si>
  <si>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</t>
    </r>
    <r>
      <rPr>
        <sz val="10"/>
        <color rgb="FF0000FF"/>
        <rFont val="ＭＳ ゴシック"/>
        <family val="3"/>
        <charset val="128"/>
      </rPr>
      <t>検品梱包</t>
    </r>
    <r>
      <rPr>
        <sz val="10"/>
        <color rgb="FF0000FF"/>
        <rFont val="Arial"/>
        <family val="2"/>
      </rPr>
      <t xml:space="preserve"> 1</t>
    </r>
    <r>
      <rPr>
        <sz val="10"/>
        <color rgb="FF0000FF"/>
        <rFont val="ＭＳ ゴシック"/>
        <family val="3"/>
        <charset val="128"/>
      </rPr>
      <t>ｈ</t>
    </r>
    <r>
      <rPr>
        <sz val="10"/>
        <color rgb="FF0000FF"/>
        <rFont val="Arial"/>
        <family val="2"/>
      </rPr>
      <t xml:space="preserve"> {25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21.17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PO-0019}</t>
    </r>
    <phoneticPr fontId="18"/>
  </si>
  <si>
    <t>PO-0021</t>
    <phoneticPr fontId="18"/>
  </si>
  <si>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290</t>
    </r>
    <r>
      <rPr>
        <sz val="10"/>
        <color rgb="FF0000FF"/>
        <rFont val="ＭＳ ゴシック"/>
        <family val="3"/>
        <charset val="128"/>
      </rPr>
      <t>枚</t>
    </r>
    <r>
      <rPr>
        <sz val="10"/>
        <color rgb="FF0000FF"/>
        <rFont val="Arial"/>
        <family val="2"/>
      </rPr>
      <t xml:space="preserve"> {2940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21.17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PO-0020}</t>
    </r>
    <phoneticPr fontId="18"/>
  </si>
  <si>
    <t>お食事エプロンPU袖なし 梱包2ｈ {50元 * 20.98円/元, PO-0016}</t>
  </si>
  <si>
    <t>お食事エプロンPU袖なし ユニコーン再検品1ｈ {25元 * 20.98円/元, PO-0019}</t>
  </si>
  <si>
    <t>お食事エプロンPU袖なし ユニコーン再梱包1ｈ {25元 * 20.98円/元, PO-0019}</t>
  </si>
  <si>
    <t>お食事エプロンPU袖なし うさぎのサンプル 3枚 {50元 * 20.59円/元, PO-0021}</t>
  </si>
  <si>
    <t>お食事エプロンPU袖なし 検品7ｈ {175元 * 20.59円/元, PO-0020}</t>
  </si>
  <si>
    <t>お食事エプロン 撮影会社から代行会社事務所へ発送 {12元 * 20.56円/元, }</t>
  </si>
  <si>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</t>
    </r>
    <r>
      <rPr>
        <sz val="10"/>
        <color rgb="FF0000FF"/>
        <rFont val="ＭＳ ゴシック"/>
        <family val="3"/>
        <charset val="128"/>
      </rPr>
      <t>今回発注</t>
    </r>
    <r>
      <rPr>
        <sz val="10"/>
        <color rgb="FF0000FF"/>
        <rFont val="Arial"/>
        <family val="2"/>
      </rPr>
      <t>+</t>
    </r>
    <r>
      <rPr>
        <sz val="10"/>
        <color rgb="FF0000FF"/>
        <rFont val="ＭＳ ゴシック"/>
        <family val="3"/>
        <charset val="128"/>
      </rPr>
      <t>返品分</t>
    </r>
    <r>
      <rPr>
        <sz val="10"/>
        <color rgb="FF0000FF"/>
        <rFont val="Arial"/>
        <family val="2"/>
      </rPr>
      <t xml:space="preserve"> </t>
    </r>
    <r>
      <rPr>
        <sz val="10"/>
        <color rgb="FF0000FF"/>
        <rFont val="ＭＳ ゴシック"/>
        <family val="3"/>
        <charset val="128"/>
      </rPr>
      <t>検品梱包</t>
    </r>
    <r>
      <rPr>
        <sz val="10"/>
        <color rgb="FF0000FF"/>
        <rFont val="Arial"/>
        <family val="2"/>
      </rPr>
      <t xml:space="preserve"> 16</t>
    </r>
    <r>
      <rPr>
        <sz val="10"/>
        <color rgb="FF0000FF"/>
        <rFont val="ＭＳ ゴシック"/>
        <family val="3"/>
        <charset val="128"/>
      </rPr>
      <t>ｈ</t>
    </r>
    <r>
      <rPr>
        <sz val="10"/>
        <color rgb="FF0000FF"/>
        <rFont val="Arial"/>
        <family val="2"/>
      </rPr>
      <t xml:space="preserve"> {400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20.59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PO-0020}</t>
    </r>
    <phoneticPr fontId="18"/>
  </si>
  <si>
    <t>PO-0023</t>
    <phoneticPr fontId="18"/>
  </si>
  <si>
    <t>お食事エプロンPU袖なし 530枚 {6420元 * 20.45円/元, PO-0022}</t>
  </si>
  <si>
    <t>お食事エプロンPU袖なし うさぎサンプル3個 {100元 * 20.45円/元, PO-0023}</t>
  </si>
  <si>
    <t>代行会社入金</t>
    <rPh sb="0" eb="4">
      <t>ダイコウガイシャ</t>
    </rPh>
    <rPh sb="4" eb="6">
      <t>ニュウキン</t>
    </rPh>
    <phoneticPr fontId="18"/>
  </si>
  <si>
    <t>代行手数料2%</t>
    <rPh sb="0" eb="2">
      <t>ダイコウ</t>
    </rPh>
    <rPh sb="2" eb="5">
      <t>テスウリョウ</t>
    </rPh>
    <phoneticPr fontId="18"/>
  </si>
  <si>
    <r>
      <rPr>
        <sz val="10"/>
        <color rgb="FF0000FF"/>
        <rFont val="ＭＳ Ｐゴシック"/>
        <family val="2"/>
        <charset val="128"/>
      </rPr>
      <t>年度末</t>
    </r>
    <r>
      <rPr>
        <sz val="10"/>
        <color rgb="FF0000FF"/>
        <rFont val="Arial"/>
        <family val="2"/>
      </rPr>
      <t xml:space="preserve"> ESPRIME</t>
    </r>
    <r>
      <rPr>
        <sz val="10"/>
        <color rgb="FF0000FF"/>
        <rFont val="ＭＳ Ｐゴシック"/>
        <family val="2"/>
        <charset val="128"/>
      </rPr>
      <t>残高</t>
    </r>
    <r>
      <rPr>
        <sz val="10"/>
        <color rgb="FF0000FF"/>
        <rFont val="Arial"/>
        <family val="2"/>
      </rPr>
      <t xml:space="preserve"> 28431</t>
    </r>
    <r>
      <rPr>
        <sz val="10"/>
        <color rgb="FF0000FF"/>
        <rFont val="ＭＳ Ｐ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 * </t>
    </r>
    <r>
      <rPr>
        <sz val="10"/>
        <color rgb="FF0000FF"/>
        <rFont val="Arial"/>
        <family val="2"/>
        <charset val="128"/>
      </rPr>
      <t>20.63</t>
    </r>
    <r>
      <rPr>
        <sz val="10"/>
        <color rgb="FF0000FF"/>
        <rFont val="ＭＳ Ｐゴシック"/>
        <family val="2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Ｐゴシック"/>
        <family val="2"/>
        <charset val="128"/>
      </rPr>
      <t>元</t>
    </r>
    <rPh sb="0" eb="2">
      <t>ネンド</t>
    </rPh>
    <rPh sb="2" eb="3">
      <t>マツ</t>
    </rPh>
    <rPh sb="11" eb="13">
      <t>ザンダカ</t>
    </rPh>
    <rPh sb="19" eb="20">
      <t>ゲン</t>
    </rPh>
    <rPh sb="28" eb="29">
      <t>エン</t>
    </rPh>
    <rPh sb="30" eb="31">
      <t>ゲン</t>
    </rPh>
    <phoneticPr fontId="18"/>
  </si>
  <si>
    <r>
      <rPr>
        <sz val="10"/>
        <color rgb="FF0000FF"/>
        <rFont val="ＭＳ Ｐゴシック"/>
        <family val="2"/>
        <charset val="128"/>
      </rPr>
      <t>年度末</t>
    </r>
    <r>
      <rPr>
        <sz val="10"/>
        <color rgb="FF0000FF"/>
        <rFont val="Arial"/>
        <family val="2"/>
      </rPr>
      <t xml:space="preserve"> ESPRIME</t>
    </r>
    <r>
      <rPr>
        <sz val="10"/>
        <color rgb="FF0000FF"/>
        <rFont val="ＭＳ Ｐゴシック"/>
        <family val="2"/>
        <charset val="128"/>
      </rPr>
      <t>残高</t>
    </r>
    <r>
      <rPr>
        <sz val="10"/>
        <color rgb="FF0000FF"/>
        <rFont val="Arial"/>
        <family val="2"/>
      </rPr>
      <t xml:space="preserve"> 8686.4</t>
    </r>
    <r>
      <rPr>
        <sz val="10"/>
        <color rgb="FF0000FF"/>
        <rFont val="ＭＳ Ｐ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 * </t>
    </r>
    <r>
      <rPr>
        <sz val="10"/>
        <color rgb="FF0000FF"/>
        <rFont val="Arial"/>
        <family val="2"/>
        <charset val="128"/>
      </rPr>
      <t>22.37</t>
    </r>
    <r>
      <rPr>
        <sz val="10"/>
        <color rgb="FF0000FF"/>
        <rFont val="ＭＳ Ｐゴシック"/>
        <family val="2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Ｐゴシック"/>
        <family val="2"/>
        <charset val="128"/>
      </rPr>
      <t>元</t>
    </r>
    <rPh sb="0" eb="2">
      <t>ネンド</t>
    </rPh>
    <rPh sb="2" eb="3">
      <t>マツ</t>
    </rPh>
    <rPh sb="11" eb="13">
      <t>ザンダカ</t>
    </rPh>
    <rPh sb="20" eb="21">
      <t>ゲン</t>
    </rPh>
    <rPh sb="29" eb="30">
      <t>エン</t>
    </rPh>
    <rPh sb="31" eb="32">
      <t>ゲン</t>
    </rPh>
    <phoneticPr fontId="18"/>
  </si>
  <si>
    <t>OCS PO-0026部分+PO-0031PUお食事エプロン　合計5箱　2025.11.11</t>
  </si>
  <si>
    <t>OCS　PO-0034+PO-0035 合計2箱　2025.12.5</t>
  </si>
  <si>
    <t>26024305252</t>
  </si>
  <si>
    <t>PO-0037</t>
    <phoneticPr fontId="18"/>
  </si>
  <si>
    <t>PO-0038</t>
    <phoneticPr fontId="18"/>
  </si>
  <si>
    <t>PO-0033</t>
    <phoneticPr fontId="18"/>
  </si>
  <si>
    <t>PO-0034</t>
    <phoneticPr fontId="18"/>
  </si>
  <si>
    <t>26022453170</t>
  </si>
  <si>
    <t>PO-0027</t>
    <phoneticPr fontId="18"/>
  </si>
  <si>
    <t>PO-0028</t>
  </si>
  <si>
    <t>PO-0028</t>
    <phoneticPr fontId="18"/>
  </si>
  <si>
    <t>PO-0039</t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</si>
  <si>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 ユニコーン　今回発注+返品分　</t>
    </r>
    <r>
      <rPr>
        <sz val="10"/>
        <color rgb="FF000000"/>
        <rFont val="ＭＳ ゴシック"/>
        <family val="3"/>
        <charset val="128"/>
      </rPr>
      <t>合計</t>
    </r>
    <r>
      <rPr>
        <sz val="10"/>
        <color rgb="FF000000"/>
        <rFont val="Arial"/>
        <family val="2"/>
      </rPr>
      <t>1</t>
    </r>
    <r>
      <rPr>
        <sz val="10"/>
        <color rgb="FF000000"/>
        <rFont val="ＭＳ ゴシック"/>
        <family val="3"/>
        <charset val="128"/>
      </rPr>
      <t>箱　</t>
    </r>
    <r>
      <rPr>
        <sz val="10"/>
        <color rgb="FF000000"/>
        <rFont val="Arial"/>
        <family val="2"/>
      </rPr>
      <t>2025.2.28</t>
    </r>
    <rPh sb="1" eb="3">
      <t>ショクジ</t>
    </rPh>
    <rPh sb="9" eb="10">
      <t>ソデ</t>
    </rPh>
    <rPh sb="19" eb="23">
      <t>コンカイハッチュウ</t>
    </rPh>
    <rPh sb="24" eb="27">
      <t>ヘンピンブン</t>
    </rPh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</si>
  <si>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Ｐゴシック"/>
        <family val="2"/>
        <charset val="128"/>
      </rPr>
      <t xml:space="preserve">ユニコーン＋うさぎ </t>
    </r>
    <r>
      <rPr>
        <sz val="10"/>
        <color rgb="FF000000"/>
        <rFont val="ＭＳ ゴシック"/>
        <family val="3"/>
        <charset val="128"/>
      </rPr>
      <t>合計</t>
    </r>
    <r>
      <rPr>
        <sz val="10"/>
        <color rgb="FF000000"/>
        <rFont val="Arial"/>
        <family val="2"/>
      </rPr>
      <t>1</t>
    </r>
    <r>
      <rPr>
        <sz val="10"/>
        <color rgb="FF000000"/>
        <rFont val="ＭＳ ゴシック"/>
        <family val="3"/>
        <charset val="128"/>
      </rPr>
      <t>箱　</t>
    </r>
    <r>
      <rPr>
        <sz val="10"/>
        <color rgb="FF000000"/>
        <rFont val="Arial"/>
        <family val="2"/>
      </rPr>
      <t>2025.2.20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</si>
  <si>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Ｐゴシック"/>
        <family val="2"/>
        <charset val="128"/>
      </rPr>
      <t>ユニコーン　今回発注</t>
    </r>
    <r>
      <rPr>
        <sz val="10"/>
        <color rgb="FF000000"/>
        <rFont val="Arial"/>
        <family val="2"/>
      </rPr>
      <t>+</t>
    </r>
    <r>
      <rPr>
        <sz val="10"/>
        <color rgb="FF000000"/>
        <rFont val="ＭＳ Ｐゴシック"/>
        <family val="2"/>
        <charset val="128"/>
      </rPr>
      <t>返品分</t>
    </r>
    <r>
      <rPr>
        <sz val="10"/>
        <color rgb="FF000000"/>
        <rFont val="ＭＳ ゴシック"/>
        <family val="3"/>
        <charset val="128"/>
      </rPr>
      <t>　合計</t>
    </r>
    <r>
      <rPr>
        <sz val="10"/>
        <color rgb="FF000000"/>
        <rFont val="Arial"/>
        <family val="2"/>
      </rPr>
      <t>1</t>
    </r>
    <r>
      <rPr>
        <sz val="10"/>
        <color rgb="FF000000"/>
        <rFont val="ＭＳ ゴシック"/>
        <family val="3"/>
        <charset val="128"/>
      </rPr>
      <t>箱　</t>
    </r>
    <r>
      <rPr>
        <sz val="10"/>
        <color rgb="FF000000"/>
        <rFont val="Arial"/>
        <family val="2"/>
      </rPr>
      <t>2025.3.25</t>
    </r>
    <phoneticPr fontId="18"/>
  </si>
  <si>
    <r>
      <rPr>
        <sz val="10"/>
        <color rgb="FF0000FF"/>
        <rFont val="ＭＳ ゴシック"/>
        <family val="3"/>
        <charset val="128"/>
      </rPr>
      <t>洗濯タグを工場に発送する国内送料</t>
    </r>
    <r>
      <rPr>
        <sz val="10"/>
        <color rgb="FF0000FF"/>
        <rFont val="Arial"/>
        <family val="2"/>
      </rPr>
      <t xml:space="preserve"> {10.5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21.17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PO-0017}</t>
    </r>
    <phoneticPr fontId="18"/>
  </si>
  <si>
    <t>洗濯タグと前回不良品を工場に発送する国内送料</t>
    <rPh sb="5" eb="7">
      <t>ゼンカイ</t>
    </rPh>
    <rPh sb="7" eb="10">
      <t>フリョウヒン</t>
    </rPh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</si>
  <si>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18</t>
    </r>
    <r>
      <rPr>
        <sz val="10"/>
        <color rgb="FF000000"/>
        <rFont val="ＭＳ ゴシック"/>
        <family val="3"/>
        <charset val="128"/>
      </rPr>
      <t>ｈ</t>
    </r>
    <rPh sb="1" eb="3">
      <t>ショクジ</t>
    </rPh>
    <rPh sb="9" eb="10">
      <t>ソデ</t>
    </rPh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</si>
  <si>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13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</si>
  <si>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phoneticPr fontId="18"/>
  </si>
  <si>
    <t>お食事エプロン用 洗濯タグ 新デザイン 2000枚</t>
    <rPh sb="7" eb="8">
      <t>ヨウ</t>
    </rPh>
    <rPh sb="9" eb="11">
      <t>センタク</t>
    </rPh>
    <rPh sb="24" eb="25">
      <t>マイ</t>
    </rPh>
    <phoneticPr fontId="18"/>
  </si>
  <si>
    <r>
      <rPr>
        <sz val="10"/>
        <color rgb="FF000000"/>
        <rFont val="ＭＳ Ｐゴシック"/>
        <family val="2"/>
        <charset val="128"/>
      </rPr>
      <t xml:space="preserve">サンプル国際送料 </t>
    </r>
    <r>
      <rPr>
        <sz val="10"/>
        <color rgb="FF000000"/>
        <rFont val="Arial"/>
        <family val="2"/>
      </rPr>
      <t xml:space="preserve">OCS </t>
    </r>
    <r>
      <rPr>
        <sz val="10"/>
        <color rgb="FF000000"/>
        <rFont val="ＭＳ Ｐゴシック"/>
        <family val="2"/>
        <charset val="128"/>
      </rPr>
      <t>お</t>
    </r>
    <r>
      <rPr>
        <sz val="10"/>
        <color rgb="FF000000"/>
        <rFont val="ＭＳ ゴシック"/>
        <family val="3"/>
        <charset val="128"/>
      </rPr>
      <t>食事エプロン</t>
    </r>
    <r>
      <rPr>
        <sz val="10"/>
        <color rgb="FF000000"/>
        <rFont val="Arial"/>
        <family val="3"/>
      </rPr>
      <t>PU</t>
    </r>
    <r>
      <rPr>
        <sz val="10"/>
        <color rgb="FF000000"/>
        <rFont val="ＭＳ Ｐゴシック"/>
        <family val="3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 xml:space="preserve">サンプル </t>
    </r>
    <r>
      <rPr>
        <sz val="10"/>
        <color rgb="FF000000"/>
        <rFont val="Arial"/>
        <family val="2"/>
      </rPr>
      <t>3</t>
    </r>
    <r>
      <rPr>
        <sz val="10"/>
        <color rgb="FF000000"/>
        <rFont val="ＭＳ ゴシック"/>
        <family val="3"/>
        <charset val="128"/>
      </rPr>
      <t>個　</t>
    </r>
    <r>
      <rPr>
        <sz val="10"/>
        <color rgb="FF000000"/>
        <rFont val="Arial"/>
        <family val="2"/>
      </rPr>
      <t>2025.5.26.</t>
    </r>
    <rPh sb="4" eb="6">
      <t>コクサイ</t>
    </rPh>
    <rPh sb="6" eb="8">
      <t>ソウリョウ</t>
    </rPh>
    <rPh sb="22" eb="23">
      <t>ソデ</t>
    </rPh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</si>
  <si>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Arial"/>
        <family val="2"/>
      </rPr>
      <t>1070</t>
    </r>
    <r>
      <rPr>
        <sz val="10"/>
        <color rgb="FF000000"/>
        <rFont val="ＭＳ ゴシック"/>
        <family val="3"/>
        <charset val="128"/>
      </rPr>
      <t>個</t>
    </r>
    <rPh sb="1" eb="3">
      <t>ショクジ</t>
    </rPh>
    <rPh sb="9" eb="10">
      <t>ソデ</t>
    </rPh>
    <phoneticPr fontId="18"/>
  </si>
  <si>
    <t>代行会社入金 {-9601.53624579933元 * 20.83円/元, }</t>
  </si>
  <si>
    <t>代行手数料2% {192.030724915987元 * 20.83円/元, }</t>
  </si>
  <si>
    <t>お食事エプロンPU袖なし ユニコーン　今回発注+返品分　合計1箱　2025.2.28 {244元 * 20.83円/元, DQS2952404EQ}</t>
  </si>
  <si>
    <t>お食事エプロンPU袖なし ユニコーン＋うさぎ 合計1箱　2025.2.20 {293元 * 20.83円/元, DQS2951954EQ}</t>
  </si>
  <si>
    <t>お食事エプロンPU袖なし ユニコーン　今回発注+返品分　合計1箱　2025.3.25 {245元 * 20.83円/元, DQS2954260EQ}</t>
  </si>
  <si>
    <t>洗濯タグと前回不良品を工場に発送する国内送料 {19元 * 20.83円/元, PO-0022}</t>
  </si>
  <si>
    <t>お食事エプロンPU袖なし 検品18ｈ {450元 * 20.83円/元, PO-0022}</t>
  </si>
  <si>
    <t>お食事エプロンPU袖なし 検品13ｈ {325元 * 20.83円/元, PO-0022}</t>
  </si>
  <si>
    <t>お食事エプロンPU袖なし  {6660元 * 20.83円/元, PO-0024}</t>
  </si>
  <si>
    <t>お食事エプロン用 洗濯タグ 新デザイン 2000枚 {280元 * 20.83円/元, PO-0025}</t>
  </si>
  <si>
    <t>代行会社入金 {-9206.2元 * 21.29円/元, }</t>
  </si>
  <si>
    <t>代行手数料2% {184.124元 * 21.29円/元, }</t>
  </si>
  <si>
    <t>サンプル国際送料 OCS お食事エプロンPU袖なし サンプル 3個　2025.5.26. {82元 * 21.29円/元, 26020159266}</t>
  </si>
  <si>
    <t>お食事エプロンPU袖なし 1070個 {11880元 * 21.29円/元, PO-0026}</t>
  </si>
  <si>
    <t>代行会社入金 {-9099.4元 * 21.54円/元, }</t>
  </si>
  <si>
    <t>代行手数料2% {181.988元 * 21.54円/元, }</t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</si>
  <si>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22.5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</si>
  <si>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13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</si>
  <si>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6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</si>
  <si>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1.5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</si>
  <si>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今回発注+返品分 </t>
    </r>
    <r>
      <rPr>
        <sz val="10"/>
        <color rgb="FF000000"/>
        <rFont val="ＭＳ ゴシック"/>
        <family val="3"/>
        <charset val="128"/>
      </rPr>
      <t>合計</t>
    </r>
    <r>
      <rPr>
        <sz val="10"/>
        <color rgb="FF000000"/>
        <rFont val="Arial"/>
        <family val="2"/>
      </rPr>
      <t>2</t>
    </r>
    <r>
      <rPr>
        <sz val="10"/>
        <color rgb="FF000000"/>
        <rFont val="ＭＳ ゴシック"/>
        <family val="3"/>
        <charset val="128"/>
      </rPr>
      <t xml:space="preserve">箱 </t>
    </r>
    <r>
      <rPr>
        <sz val="10"/>
        <color rgb="FF000000"/>
        <rFont val="Arial"/>
        <family val="2"/>
      </rPr>
      <t>2025.5.26.</t>
    </r>
    <rPh sb="13" eb="15">
      <t>コンカイ</t>
    </rPh>
    <rPh sb="15" eb="17">
      <t>ハッチュウ</t>
    </rPh>
    <rPh sb="18" eb="21">
      <t>ヘンピンブン</t>
    </rPh>
    <phoneticPr fontId="18"/>
  </si>
  <si>
    <r>
      <rPr>
        <sz val="10"/>
        <color rgb="FF000000"/>
        <rFont val="ＭＳ ゴシック"/>
        <family val="3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 xml:space="preserve">袖なし </t>
    </r>
    <r>
      <rPr>
        <sz val="10"/>
        <color rgb="FF000000"/>
        <rFont val="ＭＳ ゴシック"/>
        <family val="3"/>
        <charset val="128"/>
      </rPr>
      <t xml:space="preserve">検品 </t>
    </r>
    <r>
      <rPr>
        <sz val="10"/>
        <color rgb="FF000000"/>
        <rFont val="Arial"/>
        <family val="2"/>
      </rPr>
      <t>20</t>
    </r>
    <r>
      <rPr>
        <sz val="10"/>
        <color rgb="FF000000"/>
        <rFont val="ＭＳ ゴシック"/>
        <family val="3"/>
        <charset val="128"/>
      </rPr>
      <t>ｈ</t>
    </r>
    <rPh sb="9" eb="10">
      <t>ソデ</t>
    </rPh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</si>
  <si>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Ｐゴシック"/>
        <family val="2"/>
        <charset val="128"/>
      </rPr>
      <t>検品</t>
    </r>
    <r>
      <rPr>
        <sz val="10"/>
        <color rgb="FF000000"/>
        <rFont val="Arial"/>
        <family val="2"/>
      </rPr>
      <t xml:space="preserve"> 38.5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</si>
  <si>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Ｐゴシック"/>
        <family val="2"/>
        <charset val="128"/>
      </rPr>
      <t>検品</t>
    </r>
    <r>
      <rPr>
        <sz val="10"/>
        <color rgb="FF000000"/>
        <rFont val="Arial"/>
        <family val="2"/>
      </rPr>
      <t xml:space="preserve"> 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</si>
  <si>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Ｐゴシック"/>
        <family val="2"/>
        <charset val="128"/>
      </rPr>
      <t>今回発注</t>
    </r>
    <r>
      <rPr>
        <sz val="10"/>
        <color rgb="FF000000"/>
        <rFont val="Arial"/>
        <family val="2"/>
      </rPr>
      <t>+</t>
    </r>
    <r>
      <rPr>
        <sz val="10"/>
        <color rgb="FF000000"/>
        <rFont val="ＭＳ Ｐゴシック"/>
        <family val="2"/>
        <charset val="128"/>
      </rPr>
      <t>返品分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ゴシック"/>
        <family val="3"/>
        <charset val="128"/>
      </rPr>
      <t>合計</t>
    </r>
    <r>
      <rPr>
        <sz val="10"/>
        <color rgb="FF000000"/>
        <rFont val="Arial"/>
        <family val="2"/>
      </rPr>
      <t>2</t>
    </r>
    <r>
      <rPr>
        <sz val="10"/>
        <color rgb="FF000000"/>
        <rFont val="ＭＳ ゴシック"/>
        <family val="3"/>
        <charset val="128"/>
      </rPr>
      <t>箱　</t>
    </r>
    <r>
      <rPr>
        <sz val="10"/>
        <color rgb="FF000000"/>
        <rFont val="Arial"/>
        <family val="2"/>
      </rPr>
      <t>2025.7.7</t>
    </r>
    <phoneticPr fontId="18"/>
  </si>
  <si>
    <r>
      <rPr>
        <sz val="10"/>
        <color rgb="FF000000"/>
        <rFont val="ＭＳ ゴシック"/>
        <family val="3"/>
        <charset val="128"/>
      </rPr>
      <t>お食事エプロンパッケージ袋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ゴシック"/>
        <family val="3"/>
        <charset val="128"/>
      </rPr>
      <t>サンプル</t>
    </r>
    <phoneticPr fontId="18"/>
  </si>
  <si>
    <r>
      <rPr>
        <sz val="10"/>
        <color rgb="FF000000"/>
        <rFont val="ＭＳ ゴシック"/>
        <family val="3"/>
        <charset val="128"/>
      </rPr>
      <t>マザーズリュックサンプル２回目 工場</t>
    </r>
    <r>
      <rPr>
        <sz val="10"/>
        <color rgb="FF000000"/>
        <rFont val="Arial"/>
        <family val="2"/>
      </rPr>
      <t>1</t>
    </r>
    <phoneticPr fontId="18"/>
  </si>
  <si>
    <r>
      <rPr>
        <sz val="10"/>
        <color rgb="FF000000"/>
        <rFont val="ＭＳ ゴシック"/>
        <family val="3"/>
        <charset val="128"/>
      </rPr>
      <t>マザーズリュックサンプル２回目 工場</t>
    </r>
    <r>
      <rPr>
        <sz val="10"/>
        <color rgb="FF000000"/>
        <rFont val="Arial"/>
        <family val="2"/>
      </rPr>
      <t>2</t>
    </r>
    <r>
      <rPr>
        <sz val="11"/>
        <color theme="1"/>
        <rFont val="游ゴシック"/>
        <family val="2"/>
        <charset val="128"/>
        <scheme val="minor"/>
      </rPr>
      <t/>
    </r>
  </si>
  <si>
    <r>
      <rPr>
        <sz val="10"/>
        <color rgb="FF000000"/>
        <rFont val="ＭＳ ゴシック"/>
        <family val="3"/>
        <charset val="128"/>
      </rPr>
      <t>マザーズリュックサンプル２回目 工場</t>
    </r>
    <r>
      <rPr>
        <sz val="10"/>
        <color rgb="FF000000"/>
        <rFont val="Arial"/>
        <family val="2"/>
      </rPr>
      <t>3</t>
    </r>
    <r>
      <rPr>
        <sz val="11"/>
        <color theme="1"/>
        <rFont val="游ゴシック"/>
        <family val="2"/>
        <charset val="128"/>
        <scheme val="minor"/>
      </rPr>
      <t/>
    </r>
  </si>
  <si>
    <t>マザーズリュックサンプル２回目 工場6</t>
    <phoneticPr fontId="18"/>
  </si>
  <si>
    <t>マザーズリュックサンプル２回目 工場8</t>
    <phoneticPr fontId="18"/>
  </si>
  <si>
    <r>
      <rPr>
        <sz val="10"/>
        <color rgb="FF000000"/>
        <rFont val="ＭＳ ゴシック"/>
        <family val="3"/>
        <charset val="128"/>
      </rPr>
      <t>マザーズリュックサンプル２回目 工場</t>
    </r>
    <r>
      <rPr>
        <sz val="10"/>
        <color rgb="FF000000"/>
        <rFont val="Arial"/>
        <family val="2"/>
      </rPr>
      <t>6</t>
    </r>
    <r>
      <rPr>
        <sz val="10"/>
        <color rgb="FF000000"/>
        <rFont val="ＭＳ ゴシック"/>
        <family val="3"/>
        <charset val="128"/>
      </rPr>
      <t>黑色普通款 返金</t>
    </r>
    <phoneticPr fontId="18"/>
  </si>
  <si>
    <t>お食事エプロンパッケージ袋 本発注</t>
    <phoneticPr fontId="18"/>
  </si>
  <si>
    <r>
      <rPr>
        <sz val="10"/>
        <color rgb="FF000000"/>
        <rFont val="ＭＳ ゴシック"/>
        <family val="3"/>
        <charset val="128"/>
      </rPr>
      <t>お食事エプロン用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ゴシック"/>
        <family val="3"/>
        <charset val="128"/>
      </rPr>
      <t xml:space="preserve">洗濯タグ </t>
    </r>
    <r>
      <rPr>
        <sz val="10"/>
        <color rgb="FF000000"/>
        <rFont val="Arial"/>
        <family val="2"/>
      </rPr>
      <t>2000</t>
    </r>
    <r>
      <rPr>
        <sz val="10"/>
        <color rgb="FF000000"/>
        <rFont val="ＭＳ ゴシック"/>
        <family val="3"/>
        <charset val="128"/>
      </rPr>
      <t>個</t>
    </r>
    <rPh sb="1" eb="3">
      <t>ショクジ</t>
    </rPh>
    <phoneticPr fontId="18"/>
  </si>
  <si>
    <r>
      <rPr>
        <sz val="10"/>
        <color rgb="FF000000"/>
        <rFont val="ＭＳ Ｐゴシック"/>
        <family val="2"/>
        <charset val="128"/>
      </rPr>
      <t>お食事エプロン</t>
    </r>
    <r>
      <rPr>
        <sz val="10"/>
        <color rgb="FF000000"/>
        <rFont val="Arial"/>
        <family val="2"/>
      </rPr>
      <t>PU</t>
    </r>
    <r>
      <rPr>
        <sz val="10"/>
        <color rgb="FF000000"/>
        <rFont val="ＭＳ Ｐゴシック"/>
        <family val="2"/>
        <charset val="128"/>
      </rPr>
      <t>袖なし</t>
    </r>
    <rPh sb="1" eb="3">
      <t>ショクジ</t>
    </rPh>
    <rPh sb="9" eb="10">
      <t>ソデ</t>
    </rPh>
    <phoneticPr fontId="18"/>
  </si>
  <si>
    <r>
      <t>OCS</t>
    </r>
    <r>
      <rPr>
        <sz val="10"/>
        <color rgb="FF000000"/>
        <rFont val="ＭＳ ゴシック"/>
        <family val="3"/>
        <charset val="128"/>
      </rPr>
      <t>　マザーズリュックサンプル</t>
    </r>
    <r>
      <rPr>
        <sz val="10"/>
        <color rgb="FF000000"/>
        <rFont val="Arial"/>
        <family val="2"/>
      </rPr>
      <t>+PE</t>
    </r>
    <r>
      <rPr>
        <sz val="10"/>
        <color rgb="FF000000"/>
        <rFont val="ＭＳ ゴシック"/>
        <family val="3"/>
        <charset val="128"/>
      </rPr>
      <t>袋</t>
    </r>
    <r>
      <rPr>
        <sz val="10"/>
        <color rgb="FF000000"/>
        <rFont val="Arial"/>
        <family val="2"/>
      </rPr>
      <t>2</t>
    </r>
    <r>
      <rPr>
        <sz val="10"/>
        <color rgb="FF000000"/>
        <rFont val="ＭＳ ゴシック"/>
        <family val="3"/>
        <charset val="128"/>
      </rPr>
      <t>個　合計</t>
    </r>
    <r>
      <rPr>
        <sz val="10"/>
        <color rgb="FF000000"/>
        <rFont val="Arial"/>
        <family val="2"/>
      </rPr>
      <t>1</t>
    </r>
    <r>
      <rPr>
        <sz val="10"/>
        <color rgb="FF000000"/>
        <rFont val="ＭＳ ゴシック"/>
        <family val="3"/>
        <charset val="128"/>
      </rPr>
      <t>箱　</t>
    </r>
    <r>
      <rPr>
        <sz val="10"/>
        <color rgb="FF000000"/>
        <rFont val="Arial"/>
        <family val="2"/>
      </rPr>
      <t>2025.9.8</t>
    </r>
    <phoneticPr fontId="18"/>
  </si>
  <si>
    <r>
      <rPr>
        <sz val="10"/>
        <color rgb="FF000000"/>
        <rFont val="ＭＳ ゴシック"/>
        <family val="3"/>
        <charset val="128"/>
      </rPr>
      <t>マザーズリュックパッケージ袋サンプル　工場</t>
    </r>
    <r>
      <rPr>
        <sz val="10"/>
        <color rgb="FF000000"/>
        <rFont val="Arial"/>
        <family val="2"/>
      </rPr>
      <t>1</t>
    </r>
    <phoneticPr fontId="18"/>
  </si>
  <si>
    <r>
      <rPr>
        <sz val="10"/>
        <color rgb="FF000000"/>
        <rFont val="ＭＳ ゴシック"/>
        <family val="3"/>
        <charset val="128"/>
      </rPr>
      <t>マザーズリュックパッケージ袋サンプル　工場</t>
    </r>
    <r>
      <rPr>
        <sz val="10"/>
        <color rgb="FF000000"/>
        <rFont val="Arial"/>
        <family val="2"/>
      </rPr>
      <t>2</t>
    </r>
    <phoneticPr fontId="18"/>
  </si>
  <si>
    <r>
      <rPr>
        <sz val="10"/>
        <color rgb="FF000000"/>
        <rFont val="ＭＳ ゴシック"/>
        <family val="3"/>
        <charset val="128"/>
      </rPr>
      <t>マザーズリュック</t>
    </r>
    <r>
      <rPr>
        <sz val="10"/>
        <color rgb="FF000000"/>
        <rFont val="Arial"/>
        <family val="2"/>
      </rPr>
      <t>2</t>
    </r>
    <r>
      <rPr>
        <sz val="10"/>
        <color rgb="FF000000"/>
        <rFont val="ＭＳ ゴシック"/>
        <family val="3"/>
        <charset val="128"/>
      </rPr>
      <t>色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Arial"/>
        <family val="2"/>
      </rPr>
      <t>30</t>
    </r>
    <r>
      <rPr>
        <sz val="10"/>
        <color rgb="FF000000"/>
        <rFont val="ＭＳ ゴシック"/>
        <family val="3"/>
        <charset val="128"/>
      </rPr>
      <t>個</t>
    </r>
    <phoneticPr fontId="18"/>
  </si>
  <si>
    <r>
      <rPr>
        <sz val="10"/>
        <color rgb="FF000000"/>
        <rFont val="ＭＳ ゴシック"/>
        <family val="3"/>
        <charset val="128"/>
      </rPr>
      <t>お食事エプロン検品</t>
    </r>
    <r>
      <rPr>
        <sz val="10"/>
        <color rgb="FF000000"/>
        <rFont val="Arial"/>
        <family val="2"/>
      </rPr>
      <t>26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</si>
  <si>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ゴシック"/>
        <family val="3"/>
        <charset val="128"/>
      </rPr>
      <t>お食事エプロン検品</t>
    </r>
    <r>
      <rPr>
        <sz val="10"/>
        <color rgb="FF000000"/>
        <rFont val="Arial"/>
        <family val="2"/>
      </rPr>
      <t>23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</si>
  <si>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ゴシック"/>
        <family val="3"/>
        <charset val="128"/>
      </rPr>
      <t>お食事エプロン検品</t>
    </r>
    <r>
      <rPr>
        <sz val="10"/>
        <color rgb="FF000000"/>
        <rFont val="Arial"/>
        <family val="2"/>
      </rPr>
      <t>22</t>
    </r>
    <r>
      <rPr>
        <sz val="10"/>
        <color rgb="FF000000"/>
        <rFont val="ＭＳ ゴシック"/>
        <family val="3"/>
        <charset val="128"/>
      </rPr>
      <t>ｈ</t>
    </r>
    <phoneticPr fontId="18"/>
  </si>
  <si>
    <t>洗濯タグを工場に発送する国内送料</t>
    <phoneticPr fontId="18"/>
  </si>
  <si>
    <t>お食事エプロンPU袖なし</t>
    <rPh sb="1" eb="3">
      <t>ショクジ</t>
    </rPh>
    <rPh sb="9" eb="10">
      <t>ソデ</t>
    </rPh>
    <phoneticPr fontId="18"/>
  </si>
  <si>
    <r>
      <rPr>
        <sz val="10"/>
        <color rgb="FF000000"/>
        <rFont val="ＭＳ ゴシック"/>
        <family val="3"/>
        <charset val="128"/>
      </rPr>
      <t>お食事エプロン 貨物搬送</t>
    </r>
    <r>
      <rPr>
        <sz val="10"/>
        <color rgb="FF000000"/>
        <rFont val="Arial"/>
        <family val="2"/>
      </rPr>
      <t>+</t>
    </r>
    <r>
      <rPr>
        <sz val="10"/>
        <color rgb="FF000000"/>
        <rFont val="ＭＳ ゴシック"/>
        <family val="3"/>
        <charset val="128"/>
      </rPr>
      <t>検品</t>
    </r>
    <r>
      <rPr>
        <sz val="10"/>
        <color rgb="FF000000"/>
        <rFont val="Arial"/>
        <family val="2"/>
      </rPr>
      <t>20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</si>
  <si>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ゴシック"/>
        <family val="3"/>
        <charset val="128"/>
      </rPr>
      <t>お食事エプロンパッケージ袋</t>
    </r>
    <r>
      <rPr>
        <sz val="10"/>
        <color rgb="FF000000"/>
        <rFont val="Arial"/>
        <family val="2"/>
      </rPr>
      <t>18*23cm</t>
    </r>
    <phoneticPr fontId="18"/>
  </si>
  <si>
    <r>
      <t>PU</t>
    </r>
    <r>
      <rPr>
        <sz val="10"/>
        <color rgb="FF000000"/>
        <rFont val="ＭＳ ゴシック"/>
        <family val="3"/>
        <charset val="128"/>
      </rPr>
      <t>お食事エプロン検品</t>
    </r>
    <r>
      <rPr>
        <sz val="10"/>
        <color rgb="FF000000"/>
        <rFont val="Arial"/>
        <family val="2"/>
      </rPr>
      <t>18.5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</si>
  <si>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Ｐゴシック"/>
        <family val="2"/>
        <charset val="128"/>
      </rPr>
      <t>マザーズリュックパッケージ　</t>
    </r>
    <r>
      <rPr>
        <sz val="10"/>
        <color rgb="FF000000"/>
        <rFont val="Arial"/>
        <family val="2"/>
      </rPr>
      <t>38*51cm</t>
    </r>
    <r>
      <rPr>
        <sz val="10"/>
        <color rgb="FF000000"/>
        <rFont val="ＭＳ ゴシック"/>
        <family val="3"/>
        <charset val="128"/>
      </rPr>
      <t>【</t>
    </r>
    <r>
      <rPr>
        <sz val="10"/>
        <color rgb="FF000000"/>
        <rFont val="Arial"/>
        <family val="2"/>
      </rPr>
      <t>100</t>
    </r>
    <r>
      <rPr>
        <sz val="10"/>
        <color rgb="FF000000"/>
        <rFont val="ＭＳ ゴシック"/>
        <family val="3"/>
        <charset val="128"/>
      </rPr>
      <t>只】</t>
    </r>
    <r>
      <rPr>
        <sz val="10"/>
        <color rgb="FF000000"/>
        <rFont val="Arial"/>
        <family val="2"/>
      </rPr>
      <t>*12</t>
    </r>
    <r>
      <rPr>
        <sz val="10"/>
        <color rgb="FF000000"/>
        <rFont val="Microsoft JhengHei"/>
        <family val="2"/>
        <charset val="136"/>
      </rPr>
      <t>丝乳白色</t>
    </r>
    <r>
      <rPr>
        <sz val="10"/>
        <color rgb="FF000000"/>
        <rFont val="Arial"/>
        <family val="2"/>
      </rPr>
      <t>*</t>
    </r>
    <r>
      <rPr>
        <sz val="10"/>
        <color rgb="FF000000"/>
        <rFont val="ＭＳ ゴシック"/>
        <family val="3"/>
        <charset val="128"/>
      </rPr>
      <t>乳白色</t>
    </r>
    <r>
      <rPr>
        <sz val="10"/>
        <color rgb="FF000000"/>
        <rFont val="Arial"/>
        <family val="2"/>
      </rPr>
      <t xml:space="preserve"> 100</t>
    </r>
    <r>
      <rPr>
        <sz val="10"/>
        <color rgb="FF000000"/>
        <rFont val="ＭＳ ゴシック"/>
        <family val="3"/>
        <charset val="128"/>
      </rPr>
      <t>個</t>
    </r>
    <phoneticPr fontId="18"/>
  </si>
  <si>
    <t>マザーズリュック　本発注</t>
    <phoneticPr fontId="18"/>
  </si>
  <si>
    <r>
      <rPr>
        <sz val="10"/>
        <color rgb="FF000000"/>
        <rFont val="ＭＳ ゴシック"/>
        <family val="3"/>
        <charset val="128"/>
      </rPr>
      <t>マザーズリュックパッケージ袋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ＭＳ ゴシック"/>
        <family val="3"/>
        <charset val="128"/>
      </rPr>
      <t>本発注</t>
    </r>
    <phoneticPr fontId="18"/>
  </si>
  <si>
    <r>
      <t>PU</t>
    </r>
    <r>
      <rPr>
        <sz val="10"/>
        <color rgb="FF000000"/>
        <rFont val="ＭＳ ゴシック"/>
        <family val="3"/>
        <charset val="128"/>
      </rPr>
      <t xml:space="preserve">お食事エプロン 検品 </t>
    </r>
    <r>
      <rPr>
        <sz val="10"/>
        <color rgb="FF000000"/>
        <rFont val="Arial"/>
        <family val="2"/>
      </rPr>
      <t>22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</si>
  <si>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t>PU</t>
    </r>
    <r>
      <rPr>
        <sz val="10"/>
        <color rgb="FF000000"/>
        <rFont val="ＭＳ ゴシック"/>
        <family val="3"/>
        <charset val="128"/>
      </rPr>
      <t xml:space="preserve">お食事エプロン 検品 </t>
    </r>
    <r>
      <rPr>
        <sz val="10"/>
        <color rgb="FF000000"/>
        <rFont val="Arial"/>
        <family val="2"/>
      </rPr>
      <t>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</si>
  <si>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rPr>
        <sz val="10"/>
        <color rgb="FF000000"/>
        <rFont val="ＭＳ ゴシック"/>
        <family val="3"/>
        <charset val="128"/>
      </rPr>
      <t>マザーズリュック 検品</t>
    </r>
    <r>
      <rPr>
        <sz val="10"/>
        <color rgb="FF000000"/>
        <rFont val="Arial"/>
        <family val="2"/>
      </rPr>
      <t>15</t>
    </r>
    <r>
      <rPr>
        <sz val="10"/>
        <color rgb="FF000000"/>
        <rFont val="ＭＳ ゴシック"/>
        <family val="3"/>
        <charset val="128"/>
      </rPr>
      <t>ｈ</t>
    </r>
    <phoneticPr fontId="18"/>
  </si>
  <si>
    <r>
      <t xml:space="preserve">OCS </t>
    </r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
</t>
    </r>
    <r>
      <rPr>
        <sz val="10"/>
        <color rgb="FF0000FF"/>
        <rFont val="ＭＳ ゴシック"/>
        <family val="2"/>
        <charset val="128"/>
      </rPr>
      <t>梱包重さ：</t>
    </r>
    <r>
      <rPr>
        <sz val="10"/>
        <color rgb="FF0000FF"/>
        <rFont val="Arial"/>
        <family val="2"/>
      </rPr>
      <t xml:space="preserve">13.5kg
</t>
    </r>
    <r>
      <rPr>
        <sz val="10"/>
        <color rgb="FF0000FF"/>
        <rFont val="ＭＳ ゴシック"/>
        <family val="2"/>
        <charset val="128"/>
      </rPr>
      <t>テープ代：</t>
    </r>
    <r>
      <rPr>
        <sz val="10"/>
        <color rgb="FF0000FF"/>
        <rFont val="Arial"/>
        <family val="2"/>
      </rPr>
      <t>1*5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
</t>
    </r>
    <r>
      <rPr>
        <sz val="10"/>
        <color rgb="FF0000FF"/>
        <rFont val="ＭＳ ゴシック"/>
        <family val="2"/>
        <charset val="128"/>
      </rPr>
      <t>ダンボール代：</t>
    </r>
    <r>
      <rPr>
        <sz val="10"/>
        <color rgb="FF0000FF"/>
        <rFont val="Arial"/>
        <family val="2"/>
      </rPr>
      <t>1*10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=10</t>
    </r>
    <r>
      <rPr>
        <sz val="10"/>
        <color rgb="FF0000FF"/>
        <rFont val="ＭＳ ゴシック"/>
        <family val="2"/>
        <charset val="128"/>
      </rPr>
      <t>元（</t>
    </r>
    <r>
      <rPr>
        <sz val="10"/>
        <color rgb="FF0000FF"/>
        <rFont val="Arial"/>
        <family val="2"/>
      </rPr>
      <t>50*40*40</t>
    </r>
    <r>
      <rPr>
        <sz val="10"/>
        <color rgb="FF0000FF"/>
        <rFont val="ＭＳ ゴシック"/>
        <family val="2"/>
        <charset val="128"/>
      </rPr>
      <t>）</t>
    </r>
    <r>
      <rPr>
        <sz val="10"/>
        <color rgb="FF0000FF"/>
        <rFont val="Arial"/>
        <family val="2"/>
      </rPr>
      <t xml:space="preserve">
77+26*17+5+10</t>
    </r>
    <r>
      <rPr>
        <sz val="10"/>
        <color rgb="FF0000FF"/>
        <rFont val="ＭＳ ゴシック"/>
        <family val="2"/>
        <charset val="128"/>
      </rPr>
      <t>＝</t>
    </r>
    <r>
      <rPr>
        <sz val="10"/>
        <color rgb="FF0000FF"/>
        <rFont val="Arial"/>
        <family val="2"/>
      </rPr>
      <t>534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"
 {534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22.2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26019113411}</t>
    </r>
    <phoneticPr fontId="18"/>
  </si>
  <si>
    <r>
      <rPr>
        <sz val="10"/>
        <color rgb="FF0000FF"/>
        <rFont val="ＭＳ ゴシック"/>
        <family val="3"/>
        <charset val="128"/>
      </rPr>
      <t>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13</t>
    </r>
    <r>
      <rPr>
        <sz val="10"/>
        <color rgb="FF0000FF"/>
        <rFont val="ＭＳ ゴシック"/>
        <family val="3"/>
        <charset val="128"/>
      </rPr>
      <t xml:space="preserve">個
</t>
    </r>
    <r>
      <rPr>
        <sz val="10"/>
        <color rgb="FF0000FF"/>
        <rFont val="Arial"/>
        <family val="3"/>
      </rPr>
      <t>"</t>
    </r>
    <r>
      <rPr>
        <sz val="10"/>
        <color rgb="FF0000FF"/>
        <rFont val="ＭＳ ゴシック"/>
        <family val="3"/>
        <charset val="128"/>
      </rPr>
      <t>梱包重さ：</t>
    </r>
    <r>
      <rPr>
        <sz val="10"/>
        <color rgb="FF0000FF"/>
        <rFont val="Arial"/>
        <family val="3"/>
      </rPr>
      <t xml:space="preserve">23kg
</t>
    </r>
    <r>
      <rPr>
        <sz val="10"/>
        <color rgb="FF0000FF"/>
        <rFont val="ＭＳ ゴシック"/>
        <family val="3"/>
        <charset val="128"/>
      </rPr>
      <t>テープ代：</t>
    </r>
    <r>
      <rPr>
        <sz val="10"/>
        <color rgb="FF0000FF"/>
        <rFont val="Arial"/>
        <family val="3"/>
      </rPr>
      <t>1*5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3"/>
      </rPr>
      <t>=5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3"/>
      </rPr>
      <t xml:space="preserve">
19*23+5=442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3"/>
      </rPr>
      <t>" 2024.6.4.</t>
    </r>
    <r>
      <rPr>
        <sz val="10"/>
        <color rgb="FF0000FF"/>
        <rFont val="Arial"/>
        <family val="2"/>
      </rPr>
      <t xml:space="preserve"> 2024.6.17 {52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22.2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26019113595}</t>
    </r>
    <phoneticPr fontId="18"/>
  </si>
  <si>
    <r>
      <t xml:space="preserve">OCS </t>
    </r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144</t>
    </r>
    <r>
      <rPr>
        <sz val="10"/>
        <color rgb="FF0000FF"/>
        <rFont val="ＭＳ ゴシック"/>
        <family val="3"/>
        <charset val="128"/>
      </rPr>
      <t>個</t>
    </r>
    <r>
      <rPr>
        <sz val="10"/>
        <color rgb="FF0000FF"/>
        <rFont val="Arial"/>
        <family val="2"/>
      </rPr>
      <t xml:space="preserve"> 2024.8.6
"</t>
    </r>
    <r>
      <rPr>
        <sz val="10"/>
        <color rgb="FF0000FF"/>
        <rFont val="ＭＳ ゴシック"/>
        <family val="2"/>
        <charset val="128"/>
      </rPr>
      <t>梱包重さ：</t>
    </r>
    <r>
      <rPr>
        <sz val="10"/>
        <color rgb="FF0000FF"/>
        <rFont val="Arial"/>
        <family val="2"/>
      </rPr>
      <t xml:space="preserve">9kg
</t>
    </r>
    <r>
      <rPr>
        <sz val="10"/>
        <color rgb="FF0000FF"/>
        <rFont val="ＭＳ ゴシック"/>
        <family val="2"/>
        <charset val="128"/>
      </rPr>
      <t>テープ代：</t>
    </r>
    <r>
      <rPr>
        <sz val="10"/>
        <color rgb="FF0000FF"/>
        <rFont val="Arial"/>
        <family val="2"/>
      </rPr>
      <t>1*5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
</t>
    </r>
    <r>
      <rPr>
        <sz val="10"/>
        <color rgb="FF0000FF"/>
        <rFont val="ＭＳ ゴシック"/>
        <family val="2"/>
        <charset val="128"/>
      </rPr>
      <t>ダンボール代：</t>
    </r>
    <r>
      <rPr>
        <sz val="10"/>
        <color rgb="FF0000FF"/>
        <rFont val="Arial"/>
        <family val="2"/>
      </rPr>
      <t>1*9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=9</t>
    </r>
    <r>
      <rPr>
        <sz val="10"/>
        <color rgb="FF0000FF"/>
        <rFont val="ＭＳ ゴシック"/>
        <family val="2"/>
        <charset val="128"/>
      </rPr>
      <t>元（</t>
    </r>
    <r>
      <rPr>
        <sz val="10"/>
        <color rgb="FF0000FF"/>
        <rFont val="Arial"/>
        <family val="2"/>
      </rPr>
      <t>50*40*30</t>
    </r>
    <r>
      <rPr>
        <sz val="10"/>
        <color rgb="FF0000FF"/>
        <rFont val="ＭＳ ゴシック"/>
        <family val="2"/>
        <charset val="128"/>
      </rPr>
      <t>）</t>
    </r>
    <r>
      <rPr>
        <sz val="10"/>
        <color rgb="FF0000FF"/>
        <rFont val="Arial"/>
        <family val="2"/>
      </rPr>
      <t xml:space="preserve">
77+17*17+5+9</t>
    </r>
    <r>
      <rPr>
        <sz val="10"/>
        <color rgb="FF0000FF"/>
        <rFont val="ＭＳ ゴシック"/>
        <family val="2"/>
        <charset val="128"/>
      </rPr>
      <t>＝</t>
    </r>
    <r>
      <rPr>
        <sz val="10"/>
        <color rgb="FF0000FF"/>
        <rFont val="Arial"/>
        <family val="2"/>
      </rPr>
      <t>380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" {380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20.02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26019114575}</t>
    </r>
    <phoneticPr fontId="18"/>
  </si>
  <si>
    <r>
      <t xml:space="preserve">OCS </t>
    </r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2024.8.27
"</t>
    </r>
    <r>
      <rPr>
        <sz val="10"/>
        <color rgb="FF0000FF"/>
        <rFont val="ＭＳ ゴシック"/>
        <family val="2"/>
        <charset val="128"/>
      </rPr>
      <t>梱包重さ：</t>
    </r>
    <r>
      <rPr>
        <sz val="10"/>
        <color rgb="FF0000FF"/>
        <rFont val="Arial"/>
        <family val="2"/>
      </rPr>
      <t xml:space="preserve">14.5kg
</t>
    </r>
    <r>
      <rPr>
        <sz val="10"/>
        <color rgb="FF0000FF"/>
        <rFont val="ＭＳ ゴシック"/>
        <family val="2"/>
        <charset val="128"/>
      </rPr>
      <t>テープ代：</t>
    </r>
    <r>
      <rPr>
        <sz val="10"/>
        <color rgb="FF0000FF"/>
        <rFont val="Arial"/>
        <family val="2"/>
      </rPr>
      <t>1*5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
</t>
    </r>
    <r>
      <rPr>
        <sz val="10"/>
        <color rgb="FF0000FF"/>
        <rFont val="ＭＳ ゴシック"/>
        <family val="2"/>
        <charset val="128"/>
      </rPr>
      <t>ダンボール代：</t>
    </r>
    <r>
      <rPr>
        <sz val="10"/>
        <color rgb="FF0000FF"/>
        <rFont val="Arial"/>
        <family val="2"/>
      </rPr>
      <t>1*10.6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=10.6</t>
    </r>
    <r>
      <rPr>
        <sz val="10"/>
        <color rgb="FF0000FF"/>
        <rFont val="ＭＳ ゴシック"/>
        <family val="2"/>
        <charset val="128"/>
      </rPr>
      <t>元（</t>
    </r>
    <r>
      <rPr>
        <sz val="10"/>
        <color rgb="FF0000FF"/>
        <rFont val="Arial"/>
        <family val="2"/>
      </rPr>
      <t>50*40*45</t>
    </r>
    <r>
      <rPr>
        <sz val="10"/>
        <color rgb="FF0000FF"/>
        <rFont val="ＭＳ ゴシック"/>
        <family val="2"/>
        <charset val="128"/>
      </rPr>
      <t>）</t>
    </r>
    <r>
      <rPr>
        <sz val="10"/>
        <color rgb="FF0000FF"/>
        <rFont val="Arial"/>
        <family val="2"/>
      </rPr>
      <t xml:space="preserve">
77+28*17+5+10.6</t>
    </r>
    <r>
      <rPr>
        <sz val="10"/>
        <color rgb="FF0000FF"/>
        <rFont val="ＭＳ ゴシック"/>
        <family val="2"/>
        <charset val="128"/>
      </rPr>
      <t>＝</t>
    </r>
    <r>
      <rPr>
        <sz val="10"/>
        <color rgb="FF0000FF"/>
        <rFont val="Arial"/>
        <family val="2"/>
      </rPr>
      <t>380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" {568.6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20.02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26019114811}</t>
    </r>
    <phoneticPr fontId="18"/>
  </si>
  <si>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</t>
    </r>
    <r>
      <rPr>
        <sz val="10"/>
        <color rgb="FF0000FF"/>
        <rFont val="ＭＳ ゴシック"/>
        <family val="3"/>
        <charset val="128"/>
      </rPr>
      <t>合計</t>
    </r>
    <r>
      <rPr>
        <sz val="10"/>
        <color rgb="FF0000FF"/>
        <rFont val="Arial"/>
        <family val="2"/>
      </rPr>
      <t>3</t>
    </r>
    <r>
      <rPr>
        <sz val="10"/>
        <color rgb="FF0000FF"/>
        <rFont val="ＭＳ ゴシック"/>
        <family val="3"/>
        <charset val="128"/>
      </rPr>
      <t>箱</t>
    </r>
    <r>
      <rPr>
        <sz val="10"/>
        <color rgb="FF0000FF"/>
        <rFont val="Arial"/>
        <family val="2"/>
      </rPr>
      <t xml:space="preserve"> 2024.11.8
"</t>
    </r>
    <r>
      <rPr>
        <sz val="10"/>
        <color rgb="FF0000FF"/>
        <rFont val="ＭＳ ゴシック"/>
        <family val="2"/>
        <charset val="128"/>
      </rPr>
      <t>梱包重さ：</t>
    </r>
    <r>
      <rPr>
        <sz val="10"/>
        <color rgb="FF0000FF"/>
        <rFont val="Arial"/>
        <family val="2"/>
      </rPr>
      <t xml:space="preserve">5kg
</t>
    </r>
    <r>
      <rPr>
        <sz val="10"/>
        <color rgb="FF0000FF"/>
        <rFont val="ＭＳ ゴシック"/>
        <family val="2"/>
        <charset val="128"/>
      </rPr>
      <t>テープ代：</t>
    </r>
    <r>
      <rPr>
        <sz val="10"/>
        <color rgb="FF0000FF"/>
        <rFont val="Arial"/>
        <family val="2"/>
      </rPr>
      <t>1*5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
77+9*17+5=235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" {562.5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20.67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DQS2945757EQ}</t>
    </r>
    <phoneticPr fontId="18"/>
  </si>
  <si>
    <r>
      <t xml:space="preserve">OCS </t>
    </r>
    <r>
      <rPr>
        <sz val="10"/>
        <color rgb="FF0000FF"/>
        <rFont val="ＭＳ ゴシック"/>
        <family val="3"/>
        <charset val="128"/>
      </rPr>
      <t>お食事エプロン</t>
    </r>
    <r>
      <rPr>
        <sz val="10"/>
        <color rgb="FF0000FF"/>
        <rFont val="Arial"/>
        <family val="2"/>
      </rPr>
      <t>PU</t>
    </r>
    <r>
      <rPr>
        <sz val="10"/>
        <color rgb="FF0000FF"/>
        <rFont val="ＭＳ ゴシック"/>
        <family val="3"/>
        <charset val="128"/>
      </rPr>
      <t>袖なし</t>
    </r>
    <r>
      <rPr>
        <sz val="10"/>
        <color rgb="FF0000FF"/>
        <rFont val="Arial"/>
        <family val="2"/>
      </rPr>
      <t xml:space="preserve"> 548</t>
    </r>
    <r>
      <rPr>
        <sz val="10"/>
        <color rgb="FF0000FF"/>
        <rFont val="ＭＳ ゴシック"/>
        <family val="3"/>
        <charset val="128"/>
      </rPr>
      <t>個</t>
    </r>
    <r>
      <rPr>
        <sz val="10"/>
        <color rgb="FF0000FF"/>
        <rFont val="Arial"/>
        <family val="2"/>
      </rPr>
      <t xml:space="preserve"> 
"</t>
    </r>
    <r>
      <rPr>
        <sz val="10"/>
        <color rgb="FF0000FF"/>
        <rFont val="ＭＳ ゴシック"/>
        <family val="2"/>
        <charset val="128"/>
      </rPr>
      <t>梱包重さ：</t>
    </r>
    <r>
      <rPr>
        <sz val="10"/>
        <color rgb="FF0000FF"/>
        <rFont val="Arial"/>
        <family val="2"/>
      </rPr>
      <t xml:space="preserve">30kg
</t>
    </r>
    <r>
      <rPr>
        <sz val="10"/>
        <color rgb="FF0000FF"/>
        <rFont val="ＭＳ ゴシック"/>
        <family val="2"/>
        <charset val="128"/>
      </rPr>
      <t>テープ代：</t>
    </r>
    <r>
      <rPr>
        <sz val="10"/>
        <color rgb="FF0000FF"/>
        <rFont val="Arial"/>
        <family val="2"/>
      </rPr>
      <t>2*5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=10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
</t>
    </r>
    <r>
      <rPr>
        <sz val="10"/>
        <color rgb="FF0000FF"/>
        <rFont val="ＭＳ ゴシック"/>
        <family val="2"/>
        <charset val="128"/>
      </rPr>
      <t>ダンボール代：</t>
    </r>
    <r>
      <rPr>
        <sz val="10"/>
        <color rgb="FF0000FF"/>
        <rFont val="Arial"/>
        <family val="2"/>
      </rPr>
      <t>2*10.6</t>
    </r>
    <r>
      <rPr>
        <sz val="10"/>
        <color rgb="FF0000FF"/>
        <rFont val="ＭＳ ゴシック"/>
        <family val="2"/>
        <charset val="128"/>
      </rPr>
      <t>元＝</t>
    </r>
    <r>
      <rPr>
        <sz val="10"/>
        <color rgb="FF0000FF"/>
        <rFont val="Arial"/>
        <family val="2"/>
      </rPr>
      <t>21.2</t>
    </r>
    <r>
      <rPr>
        <sz val="10"/>
        <color rgb="FF0000FF"/>
        <rFont val="ＭＳ ゴシック"/>
        <family val="2"/>
        <charset val="128"/>
      </rPr>
      <t>元（</t>
    </r>
    <r>
      <rPr>
        <sz val="10"/>
        <color rgb="FF0000FF"/>
        <rFont val="Arial"/>
        <family val="2"/>
      </rPr>
      <t>50*40*45</t>
    </r>
    <r>
      <rPr>
        <sz val="10"/>
        <color rgb="FF0000FF"/>
        <rFont val="ＭＳ ゴシック"/>
        <family val="2"/>
        <charset val="128"/>
      </rPr>
      <t>）</t>
    </r>
    <r>
      <rPr>
        <sz val="10"/>
        <color rgb="FF0000FF"/>
        <rFont val="Arial"/>
        <family val="2"/>
      </rPr>
      <t xml:space="preserve">
30*19+10+21.2=601.2</t>
    </r>
    <r>
      <rPr>
        <sz val="10"/>
        <color rgb="FF0000FF"/>
        <rFont val="ＭＳ ゴシック"/>
        <family val="2"/>
        <charset val="128"/>
      </rPr>
      <t>元</t>
    </r>
    <r>
      <rPr>
        <sz val="10"/>
        <color rgb="FF0000FF"/>
        <rFont val="Arial"/>
        <family val="2"/>
      </rPr>
      <t>"
{601.2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 xml:space="preserve"> * 20.65</t>
    </r>
    <r>
      <rPr>
        <sz val="10"/>
        <color rgb="FF0000FF"/>
        <rFont val="ＭＳ ゴシック"/>
        <family val="3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ゴシック"/>
        <family val="3"/>
        <charset val="128"/>
      </rPr>
      <t>元</t>
    </r>
    <r>
      <rPr>
        <sz val="10"/>
        <color rgb="FF0000FF"/>
        <rFont val="Arial"/>
        <family val="2"/>
      </rPr>
      <t>, 26020203580}</t>
    </r>
    <phoneticPr fontId="18"/>
  </si>
  <si>
    <r>
      <rPr>
        <sz val="10"/>
        <color rgb="FF0000FF"/>
        <rFont val="ＭＳ Ｐゴシック"/>
        <family val="2"/>
        <charset val="128"/>
      </rPr>
      <t>年度末</t>
    </r>
    <r>
      <rPr>
        <sz val="10"/>
        <color rgb="FF0000FF"/>
        <rFont val="Arial"/>
        <family val="2"/>
      </rPr>
      <t xml:space="preserve"> ESPRIME</t>
    </r>
    <r>
      <rPr>
        <sz val="10"/>
        <color rgb="FF0000FF"/>
        <rFont val="ＭＳ Ｐゴシック"/>
        <family val="2"/>
        <charset val="128"/>
      </rPr>
      <t>残高</t>
    </r>
    <r>
      <rPr>
        <sz val="10"/>
        <color rgb="FF0000FF"/>
        <rFont val="Arial"/>
        <family val="2"/>
      </rPr>
      <t xml:space="preserve"> 391.8</t>
    </r>
    <r>
      <rPr>
        <sz val="10"/>
        <color rgb="FF0000FF"/>
        <rFont val="ＭＳ Ｐゴシック"/>
        <family val="2"/>
        <charset val="128"/>
      </rPr>
      <t>元</t>
    </r>
    <r>
      <rPr>
        <sz val="10"/>
        <color rgb="FF0000FF"/>
        <rFont val="Arial"/>
        <family val="2"/>
      </rPr>
      <t xml:space="preserve"> * </t>
    </r>
    <r>
      <rPr>
        <sz val="10"/>
        <color rgb="FF0000FF"/>
        <rFont val="Arial"/>
        <family val="2"/>
        <charset val="128"/>
      </rPr>
      <t>23.42</t>
    </r>
    <r>
      <rPr>
        <sz val="10"/>
        <color rgb="FF0000FF"/>
        <rFont val="ＭＳ Ｐゴシック"/>
        <family val="2"/>
        <charset val="128"/>
      </rPr>
      <t>円</t>
    </r>
    <r>
      <rPr>
        <sz val="10"/>
        <color rgb="FF0000FF"/>
        <rFont val="Arial"/>
        <family val="2"/>
      </rPr>
      <t>/</t>
    </r>
    <r>
      <rPr>
        <sz val="10"/>
        <color rgb="FF0000FF"/>
        <rFont val="ＭＳ Ｐゴシック"/>
        <family val="2"/>
        <charset val="128"/>
      </rPr>
      <t>元</t>
    </r>
    <rPh sb="0" eb="2">
      <t>ネンド</t>
    </rPh>
    <rPh sb="2" eb="3">
      <t>マツ</t>
    </rPh>
    <rPh sb="11" eb="13">
      <t>ザンダカ</t>
    </rPh>
    <rPh sb="19" eb="20">
      <t>ゲン</t>
    </rPh>
    <rPh sb="28" eb="29">
      <t>エン</t>
    </rPh>
    <rPh sb="30" eb="31">
      <t>ゲン</t>
    </rPh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</si>
</sst>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76" formatCode="#,##0.0;[Red]\-#,##0.0"/>
    <numFmt numFmtId="177" formatCode="yyyy&quot;/&quot;mm&quot;/&quot;dd"/>
  </numFmts>
  <fonts count="3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57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rgb="FF0070C0"/>
      <name val="游ゴシック"/>
      <family val="3"/>
      <charset val="128"/>
      <scheme val="minor"/>
    </font>
    <font>
      <b/>
      <sz val="11"/>
      <color rgb="FFFFFFFF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10"/>
      <name val="Arial"/>
      <family val="2"/>
    </font>
    <font>
      <sz val="10"/>
      <color rgb="FF000000"/>
      <name val="ＭＳ 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FF"/>
      <name val="Arial"/>
      <family val="2"/>
    </font>
    <font>
      <sz val="10"/>
      <color rgb="FF0000FF"/>
      <name val="ＭＳ ゴシック"/>
      <family val="3"/>
      <charset val="128"/>
    </font>
    <font>
      <sz val="10"/>
      <color rgb="FF0000FF"/>
      <name val="ＭＳ ゴシック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2"/>
      <charset val="128"/>
    </font>
    <font>
      <sz val="10"/>
      <color rgb="FF0000FF"/>
      <name val="ＭＳ Ｐゴシック"/>
      <family val="2"/>
      <charset val="128"/>
    </font>
    <font>
      <sz val="10"/>
      <color rgb="FF0000FF"/>
      <name val="Arial"/>
      <family val="3"/>
    </font>
    <font>
      <sz val="10"/>
      <color rgb="FF0000FF"/>
      <name val="Arial"/>
      <family val="2"/>
      <charset val="128"/>
    </font>
    <font>
      <sz val="10"/>
      <color rgb="FF0000FF"/>
      <name val="Arial"/>
      <family val="3"/>
      <charset val="128"/>
    </font>
    <font>
      <sz val="10"/>
      <color rgb="FF000000"/>
      <name val="ＭＳ Ｐゴシック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color rgb="FF000000"/>
      <name val="Microsoft JhengHei"/>
      <family val="2"/>
      <charset val="136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rgb="FF15608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44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21" fillId="0" borderId="0"/>
  </cellStyleXfs>
  <cellXfs count="49">
    <xf numFmtId="0" fontId="0" fillId="0" borderId="0" xfId="0">
      <alignment vertical="center"/>
    </xf>
    <xf numFmtId="14" fontId="0" fillId="0" borderId="0" xfId="0" applyNumberFormat="1">
      <alignment vertical="center"/>
    </xf>
    <xf numFmtId="3" fontId="0" fillId="0" borderId="0" xfId="0" applyNumberFormat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0" fontId="13" fillId="33" borderId="10" xfId="0" applyFont="1" applyFill="1" applyBorder="1">
      <alignment vertical="center"/>
    </xf>
    <xf numFmtId="4" fontId="0" fillId="0" borderId="0" xfId="0" applyNumberFormat="1">
      <alignment vertical="center"/>
    </xf>
    <xf numFmtId="0" fontId="20" fillId="34" borderId="0" xfId="0" applyFont="1" applyFill="1">
      <alignment vertical="center"/>
    </xf>
    <xf numFmtId="38" fontId="0" fillId="0" borderId="0" xfId="1" applyFont="1" applyFill="1">
      <alignment vertical="center"/>
    </xf>
    <xf numFmtId="1" fontId="0" fillId="0" borderId="0" xfId="0" applyNumberFormat="1">
      <alignment vertical="center"/>
    </xf>
    <xf numFmtId="1" fontId="19" fillId="0" borderId="11" xfId="0" applyNumberFormat="1" applyFont="1" applyBorder="1">
      <alignment vertical="center"/>
    </xf>
    <xf numFmtId="0" fontId="21" fillId="0" borderId="0" xfId="43"/>
    <xf numFmtId="0" fontId="22" fillId="0" borderId="0" xfId="43" applyFont="1"/>
    <xf numFmtId="177" fontId="22" fillId="0" borderId="0" xfId="43" applyNumberFormat="1" applyFont="1"/>
    <xf numFmtId="0" fontId="21" fillId="0" borderId="0" xfId="43" applyAlignment="1">
      <alignment horizontal="right"/>
    </xf>
    <xf numFmtId="177" fontId="21" fillId="0" borderId="0" xfId="43" applyNumberFormat="1" applyAlignment="1">
      <alignment horizontal="right"/>
    </xf>
    <xf numFmtId="177" fontId="21" fillId="0" borderId="0" xfId="43" applyNumberFormat="1"/>
    <xf numFmtId="0" fontId="23" fillId="0" borderId="0" xfId="43" applyFont="1"/>
    <xf numFmtId="0" fontId="24" fillId="0" borderId="0" xfId="43" applyFont="1"/>
    <xf numFmtId="4" fontId="21" fillId="0" borderId="0" xfId="43" applyNumberFormat="1"/>
    <xf numFmtId="0" fontId="25" fillId="0" borderId="0" xfId="43" applyFont="1"/>
    <xf numFmtId="177" fontId="25" fillId="0" borderId="0" xfId="43" applyNumberFormat="1" applyFont="1" applyAlignment="1">
      <alignment horizontal="right"/>
    </xf>
    <xf numFmtId="0" fontId="26" fillId="0" borderId="0" xfId="43" applyFont="1"/>
    <xf numFmtId="3" fontId="21" fillId="0" borderId="0" xfId="43" applyNumberFormat="1" applyAlignment="1">
      <alignment horizontal="right"/>
    </xf>
    <xf numFmtId="3" fontId="21" fillId="0" borderId="0" xfId="43" applyNumberFormat="1"/>
    <xf numFmtId="176" fontId="25" fillId="0" borderId="0" xfId="1" applyNumberFormat="1" applyFont="1" applyAlignment="1"/>
    <xf numFmtId="176" fontId="25" fillId="0" borderId="0" xfId="1" applyNumberFormat="1" applyFont="1" applyFill="1" applyAlignment="1"/>
    <xf numFmtId="0" fontId="29" fillId="0" borderId="0" xfId="43" applyFont="1"/>
    <xf numFmtId="0" fontId="28" fillId="0" borderId="0" xfId="43" applyFont="1"/>
    <xf numFmtId="38" fontId="21" fillId="0" borderId="0" xfId="1" applyFont="1" applyFill="1" applyAlignment="1"/>
    <xf numFmtId="38" fontId="21" fillId="0" borderId="0" xfId="1" applyFont="1" applyAlignment="1"/>
    <xf numFmtId="3" fontId="29" fillId="0" borderId="0" xfId="43" applyNumberFormat="1" applyFont="1"/>
    <xf numFmtId="49" fontId="25" fillId="0" borderId="0" xfId="43" applyNumberFormat="1" applyFont="1"/>
    <xf numFmtId="0" fontId="32" fillId="0" borderId="0" xfId="43" applyFont="1"/>
    <xf numFmtId="0" fontId="33" fillId="0" borderId="0" xfId="43" applyFont="1"/>
    <xf numFmtId="3" fontId="25" fillId="0" borderId="0" xfId="43" applyNumberFormat="1" applyFont="1"/>
    <xf numFmtId="0" fontId="25" fillId="0" borderId="0" xfId="43" applyFont="1" applyAlignment="1">
      <alignment horizontal="left"/>
    </xf>
    <xf numFmtId="0" fontId="26" fillId="0" borderId="0" xfId="43" applyFont="1" applyAlignment="1">
      <alignment horizontal="left"/>
    </xf>
    <xf numFmtId="177" fontId="25" fillId="0" borderId="0" xfId="43" applyNumberFormat="1" applyFont="1" applyAlignment="1">
      <alignment horizontal="left"/>
    </xf>
    <xf numFmtId="3" fontId="24" fillId="0" borderId="0" xfId="43" applyNumberFormat="1" applyFont="1"/>
    <xf numFmtId="3" fontId="32" fillId="0" borderId="0" xfId="43" applyNumberFormat="1" applyFont="1"/>
    <xf numFmtId="2" fontId="21" fillId="0" borderId="0" xfId="43" applyNumberFormat="1"/>
    <xf numFmtId="38" fontId="21" fillId="0" borderId="0" xfId="43" applyNumberFormat="1"/>
    <xf numFmtId="3" fontId="28" fillId="0" borderId="0" xfId="43" applyNumberFormat="1" applyFont="1"/>
    <xf numFmtId="40" fontId="25" fillId="0" borderId="0" xfId="1" applyNumberFormat="1" applyFont="1" applyAlignment="1"/>
    <xf numFmtId="176" fontId="21" fillId="0" borderId="0" xfId="1" applyNumberFormat="1" applyFont="1" applyFill="1" applyAlignment="1"/>
    <xf numFmtId="3" fontId="23" fillId="0" borderId="0" xfId="43" applyNumberFormat="1" applyFont="1"/>
    <xf numFmtId="0" fontId="25" fillId="0" borderId="0" xfId="43" applyFont="1" applyAlignment="1">
      <alignment wrapText="1"/>
    </xf>
    <xf numFmtId="0" fontId="33" fillId="0" borderId="0" xfId="43" applyFont="1" applyAlignment="1">
      <alignment wrapText="1"/>
    </xf>
  </cellXfs>
  <cellStyles count="44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標準 2" xfId="43" xr:uid="{11B79771-BDF3-416C-8B7F-00C2ADDFEB8E}"/>
    <cellStyle name="良い" xfId="7" builtinId="26" customBuiltin="1"/>
  </cellStyles>
  <dxfs count="34">
    <dxf>
      <numFmt numFmtId="8" formatCode="#,##0.00;[Red]\-#,##0.00"/>
    </dxf>
    <dxf>
      <numFmt numFmtId="19" formatCode="yyyy/m/d"/>
    </dxf>
    <dxf>
      <numFmt numFmtId="0" formatCode="General"/>
      <fill>
        <patternFill patternType="none">
          <bgColor auto="1"/>
        </patternFill>
      </fill>
    </dxf>
    <dxf>
      <numFmt numFmtId="1" formatCode="0"/>
      <fill>
        <patternFill patternType="none">
          <bgColor auto="1"/>
        </patternFill>
      </fill>
    </dxf>
    <dxf>
      <numFmt numFmtId="1" formatCode="0"/>
      <fill>
        <patternFill patternType="none">
          <bgColor auto="1"/>
        </patternFill>
      </fill>
    </dxf>
    <dxf>
      <numFmt numFmtId="3" formatCode="#,##0"/>
      <fill>
        <patternFill patternType="none">
          <bgColor auto="1"/>
        </patternFill>
      </fill>
    </dxf>
    <dxf>
      <numFmt numFmtId="4" formatCode="#,##0.00"/>
      <fill>
        <patternFill patternType="none">
          <bgColor auto="1"/>
        </patternFill>
      </fill>
    </dxf>
    <dxf>
      <numFmt numFmtId="0" formatCode="General"/>
      <fill>
        <patternFill patternType="none">
          <bgColor auto="1"/>
        </patternFill>
      </fill>
    </dxf>
    <dxf>
      <numFmt numFmtId="3" formatCode="#,##0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9" formatCode="yyyy/m/d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6" formatCode="#,##0;[Red]\-#,##0"/>
    </dxf>
    <dxf>
      <numFmt numFmtId="6" formatCode="#,##0;[Red]\-#,##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color rgb="FF0000FF"/>
      </font>
      <numFmt numFmtId="0" formatCode="General"/>
    </dxf>
    <dxf>
      <numFmt numFmtId="3" formatCode="#,##0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3" formatCode="#,##0"/>
      <fill>
        <patternFill patternType="none">
          <fgColor indexed="64"/>
          <bgColor indexed="65"/>
        </patternFill>
      </fill>
    </dxf>
    <dxf>
      <numFmt numFmtId="3" formatCode="#,##0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76" formatCode="#,##0.0;[Red]\-#,##0.0"/>
    </dxf>
    <dxf>
      <font>
        <strike val="0"/>
        <outline val="0"/>
        <shadow val="0"/>
        <u val="none"/>
        <vertAlign val="baseline"/>
        <sz val="10"/>
        <color rgb="FF0000FF"/>
      </font>
    </dxf>
    <dxf>
      <font>
        <strike val="0"/>
        <outline val="0"/>
        <shadow val="0"/>
        <u val="none"/>
        <vertAlign val="baseline"/>
        <sz val="10"/>
        <color rgb="FF0000FF"/>
      </font>
      <numFmt numFmtId="177" formatCode="yyyy&quot;/&quot;mm&quot;/&quot;dd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  <numFmt numFmtId="177" formatCode="yyyy&quot;/&quot;mm&quot;/&quot;dd"/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FF"/>
      </font>
      <numFmt numFmtId="177" formatCode="yyyy&quot;/&quot;mm&quot;/&quot;dd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rgb="FF0000FF"/>
      </font>
    </dxf>
    <dxf>
      <font>
        <strike val="0"/>
        <outline val="0"/>
        <shadow val="0"/>
        <u val="none"/>
        <vertAlign val="baseline"/>
        <sz val="10"/>
        <color rgb="FF0000FF"/>
        <name val="Arial"/>
        <family val="2"/>
        <scheme val="none"/>
      </font>
    </dxf>
    <dxf>
      <font>
        <color auto="1"/>
      </font>
      <fill>
        <patternFill>
          <bgColor theme="0"/>
        </patternFill>
      </fill>
      <border diagonalUp="1" diagonalDown="0">
        <left/>
        <right/>
        <top style="thin">
          <color auto="1"/>
        </top>
        <bottom style="thin">
          <color auto="1"/>
        </bottom>
        <diagonal style="thin">
          <color auto="1"/>
        </diagonal>
        <vertical/>
        <horizontal style="thin">
          <color auto="1"/>
        </horizontal>
      </border>
    </dxf>
  </dxfs>
  <tableStyles count="1" defaultTableStyle="TableStyleMedium2" defaultPivotStyle="PivotStyleLight16">
    <tableStyle name="シンプル" pivot="0" count="1" xr9:uid="{7E5713DF-1D60-4466-96E1-8CE2DAD3255A}">
      <tableStyleElement type="wholeTable" dxfId="33"/>
    </tableStyle>
  </tableStyles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5C0132B1-F1BE-41E4-99B4-12C3A87C166B}" name="テーブル11" displayName="テーブル11" ref="A1:L166" totalsRowShown="0">
  <autoFilter ref="A1:L166" xr:uid="{5C0132B1-F1BE-41E4-99B4-12C3A87C166B}"/>
  <tableColumns count="12">
    <tableColumn id="1" xr3:uid="{4613E2E1-EDB3-42D5-A972-AB66C15C0566}" name="勘定科目"/>
    <tableColumn id="2" xr3:uid="{02EA880B-067D-45D3-9A92-D964C21F88E9}" name="表示名（決算書）"/>
    <tableColumn id="3" xr3:uid="{63EB00CF-8C7F-4B2F-998A-4066F7B939D6}" name="小分類"/>
    <tableColumn id="4" xr3:uid="{501E987A-7996-4096-8874-DB3A82791B56}" name="中分類"/>
    <tableColumn id="5" xr3:uid="{310DBDFB-C208-4C7B-A502-8A6F5303DE5C}" name="大分類"/>
    <tableColumn id="6" xr3:uid="{285B73A1-FFC7-4EE9-BF27-F358FFBEB405}" name="収入取引相手方勘定科目"/>
    <tableColumn id="7" xr3:uid="{230FA641-CA59-4555-96F6-A5B13D1C75EC}" name="支出取引相手方勘定科目"/>
    <tableColumn id="8" xr3:uid="{4B3350CD-CC76-487E-8426-D56844E97129}" name="税区分"/>
    <tableColumn id="9" xr3:uid="{63ACEA06-2809-47D4-9856-B526D598C80B}" name="ショートカット1"/>
    <tableColumn id="10" xr3:uid="{319D7F9A-0DED-486E-BC38-262721EFF360}" name="ショートカット2"/>
    <tableColumn id="11" xr3:uid="{259127CF-9DB5-4635-9DF3-CB4764C4841D}" name="入力候補"/>
    <tableColumn id="12" xr3:uid="{38ED8B0B-72BD-475D-AC95-B28BB2953B59}" name="補助科目優先タグ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FEAC04B3-25D0-4631-B6DB-E1C6D9740709}" name="テーブル10" displayName="テーブル10" ref="A1:Q167" totalsRowShown="0" headerRowCellStyle="標準 2" dataCellStyle="標準 2">
  <autoFilter ref="A1:Q167" xr:uid="{FEAC04B3-25D0-4631-B6DB-E1C6D9740709}"/>
  <sortState xmlns:xlrd2="http://schemas.microsoft.com/office/spreadsheetml/2017/richdata2" ref="A2:Q153">
    <sortCondition ref="C1:C153"/>
  </sortState>
  <tableColumns count="17">
    <tableColumn id="1" xr3:uid="{B4F5A1A6-4357-4585-BA68-D9167AF59C89}" name="収支区分" dataDxfId="32" dataCellStyle="標準 2"/>
    <tableColumn id="17" xr3:uid="{F9BE8DE9-5F84-43E1-A5E5-2E37D45AAC70}" name="決済口座" dataDxfId="31" dataCellStyle="標準 2"/>
    <tableColumn id="3" xr3:uid="{4F27DB67-02BD-4026-8498-C20795105489}" name="発生日" dataDxfId="30" dataCellStyle="標準 2"/>
    <tableColumn id="7" xr3:uid="{C2A7B264-C912-4FA7-B20C-05609A239443}" name="勘定科目" dataDxfId="29" dataCellStyle="標準 2"/>
    <tableColumn id="13" xr3:uid="{54151CCE-64BA-4F10-BD2D-CAEDC8BF7B0D}" name="品目" dataDxfId="28" dataCellStyle="標準 2"/>
    <tableColumn id="8" xr3:uid="{4866DC80-50E3-46E1-9E34-27F26C3506F6}" name="税区分" dataDxfId="27" dataCellStyle="標準 2"/>
    <tableColumn id="22" xr3:uid="{F32300AD-30EB-4EA6-A600-A8929AB9C69D}" name="元金額" dataDxfId="26" dataCellStyle="桁区切り"/>
    <tableColumn id="23" xr3:uid="{44D5DBB1-84E6-4688-9CD3-F75145E4DDD6}" name="為替レート" dataDxfId="25" dataCellStyle="標準 2"/>
    <tableColumn id="9" xr3:uid="{7BEE1959-C3E0-4B34-8948-49B5AD830823}" name="金額" dataDxfId="24" dataCellStyle="標準 2">
      <calculatedColumnFormula>ROUND(テーブル10[[#This Row],[元金額]]*テーブル10[[#This Row],[為替レート]],0)</calculatedColumnFormula>
    </tableColumn>
    <tableColumn id="31" xr3:uid="{4CDDF2AA-C110-4AF6-BF4D-15B33CE74BA8}" name="メモタグ" dataDxfId="23" dataCellStyle="標準 2"/>
    <tableColumn id="29" xr3:uid="{63B2D793-EE51-4FA1-AB0F-7F542446F58D}" name="配賦ID" dataDxfId="22" dataCellStyle="標準 2"/>
    <tableColumn id="32" xr3:uid="{0479ED18-1AD4-46DA-94D9-310324E1EA16}" name="メモ" dataDxfId="21" dataCellStyle="標準 2"/>
    <tableColumn id="12" xr3:uid="{C28A0A2F-90E0-4DAF-9D15-5A2A284E0967}" name="備考" dataDxfId="20" dataCellStyle="標準 2">
      <calculatedColumnFormula>テーブル10[[#This Row],[メモ]]&amp;" {"&amp;テーブル10[[#This Row],[元金額]]&amp;"元 * "&amp;テーブル10[[#This Row],[為替レート]]&amp;"円/元, "&amp;テーブル10[[#This Row],[配賦ID]]&amp;"}"</calculatedColumnFormula>
    </tableColumn>
    <tableColumn id="26" xr3:uid="{3FD430CF-1A03-4BCA-AA97-CCAF687ED45C}" name="元残高" dataDxfId="19" dataCellStyle="桁区切り">
      <calculatedColumnFormula array="1">-SUMPRODUCT((B$2:B$167=B2)*((C$2:C$167&lt;C2)+(C$2:C$167=C2)*(ROW(G$2:G$167)&lt;=ROW(G2)))*G$2:G$167)</calculatedColumnFormula>
    </tableColumn>
    <tableColumn id="27" xr3:uid="{799AA5B3-1F61-44AC-97FD-F551A8B07237}" name="円残高" dataDxfId="18" dataCellStyle="桁区切り">
      <calculatedColumnFormula array="1">-SUMPRODUCT((B$2:B$167=B2)*((C$2:C$167&lt;C2)+(C$2:C$167=C2)*(ROW(I$2:I$167)&lt;=ROW(I2)))*I$2:I$167)</calculatedColumnFormula>
    </tableColumn>
    <tableColumn id="34" xr3:uid="{66D5AEB4-6C3F-44D9-8674-8787C3323808}" name="円残高_時価" dataDxfId="17" dataCellStyle="桁区切り">
      <calculatedColumnFormula>ROUND(テーブル10[[#This Row],[為替レート]]*テーブル10[[#This Row],[元残高]],0)</calculatedColumnFormula>
    </tableColumn>
    <tableColumn id="35" xr3:uid="{564BA2C6-39F6-45E2-8B5E-03BC7C24012F}" name="為替差損益" dataDxfId="16" dataCellStyle="標準 2">
      <calculatedColumnFormula>テーブル10[[#This Row],[円残高]]-テーブル10[[#This Row],[円残高_時価]]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122F1F0-8CA3-44EE-8CEF-0EC44F824055}" name="YP_預け金管理表" displayName="YP_預け金管理表" ref="A1:M54" totalsRowShown="0" dataDxfId="15">
  <autoFilter ref="A1:M54" xr:uid="{5CC265C0-D849-464D-85B1-DA0117B4EBA0}"/>
  <tableColumns count="13">
    <tableColumn id="1" xr3:uid="{5859671A-C360-44E9-9105-DFE904292149}" name="No" dataDxfId="14"/>
    <tableColumn id="2" xr3:uid="{2418DDDE-1F43-4A1F-8CAA-AB0976BDA47B}" name="発生日" dataDxfId="13"/>
    <tableColumn id="3" xr3:uid="{B37FAC9A-56F5-4E96-8E30-58C776DDD653}" name="費用項目" dataDxfId="12"/>
    <tableColumn id="4" xr3:uid="{A339C436-72DC-4DC3-92A9-9BB6A457DB5C}" name="備考" dataDxfId="11"/>
    <tableColumn id="5" xr3:uid="{D370E530-E55C-4142-A95D-86DA2369D345}" name="PO" dataDxfId="10"/>
    <tableColumn id="6" xr3:uid="{E244646C-BAD0-4B2E-952D-D3634372B94C}" name="出金額（元）" dataDxfId="9" dataCellStyle="桁区切り"/>
    <tableColumn id="7" xr3:uid="{9EBD98AA-C039-4EA5-BD73-159DD1581B98}" name="残高（元）" dataDxfId="8">
      <calculatedColumnFormula>IFERROR(G1-YP_預け金管理表[[#This Row],[出金額（元）]],-YP_預け金管理表[[#This Row],[出金額（元）]])</calculatedColumnFormula>
    </tableColumn>
    <tableColumn id="8" xr3:uid="{1B06E3B7-F275-4E5E-9446-681D9FE43BFD}" name="為替レート" dataDxfId="7">
      <calculatedColumnFormula array="1">SUMPRODUCT((#REF!&lt;=B2)*(#REF!&gt;=B2)*#REF!)</calculatedColumnFormula>
    </tableColumn>
    <tableColumn id="9" xr3:uid="{5A20C79E-9C72-404F-B351-517379868FDB}" name="出金額（円）" dataDxfId="6">
      <calculatedColumnFormula>YP_預け金管理表[[#This Row],[出金額（元）]]*YP_預け金管理表[[#This Row],[為替レート]]</calculatedColumnFormula>
    </tableColumn>
    <tableColumn id="10" xr3:uid="{DF515ABC-43D3-421C-A114-EBDA3B75AB8D}" name="残高（円）" dataDxfId="5"/>
    <tableColumn id="11" xr3:uid="{FF067594-BF93-470F-B22C-CF3C926FA874}" name="出金額（円）2" dataDxfId="4">
      <calculatedColumnFormula>ROUND(YP_預け金管理表[[#This Row],[出金額（元）]]*YP_預け金管理表[[#This Row],[為替レート]],0)</calculatedColumnFormula>
    </tableColumn>
    <tableColumn id="12" xr3:uid="{FE888CC4-E9D8-45FB-BEC5-5AEEF769CB57}" name="残高（円）2" dataDxfId="3">
      <calculatedColumnFormula>L1-YP_預け金管理表[[#This Row],[出金額（円）2]]</calculatedColumnFormula>
    </tableColumn>
    <tableColumn id="13" xr3:uid="{DA6266E8-255A-49AE-B420-5F0A031A8234}" name="残高（円）3" dataDxfId="2">
      <calculatedColumnFormula>ROUND(YP_預け金管理表[[#This Row],[出金額（元）]]*YP_預け金管理表[[#This Row],[為替レート]],0)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FD57F6-6CA2-48BF-A752-966596D31CA4}" name="直行便_預け金管理表" displayName="直行便_預け金管理表" ref="A1:J4" totalsRowShown="0">
  <autoFilter ref="A1:J4" xr:uid="{500DBFF5-5265-4631-947E-716319003A21}"/>
  <tableColumns count="10">
    <tableColumn id="1" xr3:uid="{081E3E66-4916-4131-A7B4-F99FA96AA312}" name="No"/>
    <tableColumn id="2" xr3:uid="{9DF2B2B5-AF19-4804-A694-630F0FE8617C}" name="発生日" dataDxfId="1"/>
    <tableColumn id="3" xr3:uid="{E6EEFCBD-D740-4010-A2ED-18960069B544}" name="費用項目"/>
    <tableColumn id="4" xr3:uid="{F0941F8F-618D-48F5-8A9C-B6916D8A0931}" name="備考"/>
    <tableColumn id="5" xr3:uid="{7F1FD310-4B68-4751-A63C-8B4C8C78E975}" name="PO"/>
    <tableColumn id="6" xr3:uid="{291E7638-00C5-473F-95CB-BE0C751227BD}" name="出金額（元）" dataCellStyle="桁区切り"/>
    <tableColumn id="7" xr3:uid="{CCF0314C-04D7-4F84-8BAA-6FE579CA11DD}" name="残高（元）" dataCellStyle="桁区切り">
      <calculatedColumnFormula>IFERROR(G1-直行便_預け金管理表[[#This Row],[出金額（元）]],-直行便_預け金管理表[[#This Row],[出金額（元）]])</calculatedColumnFormula>
    </tableColumn>
    <tableColumn id="8" xr3:uid="{41FA4A05-A5B8-4A85-9227-1DF17B244D17}" name="為替レート" dataDxfId="0" dataCellStyle="桁区切り">
      <calculatedColumnFormula array="1">SUMPRODUCT((#REF!&lt;=B2)*(#REF!&gt;=B2)*#REF!)</calculatedColumnFormula>
    </tableColumn>
    <tableColumn id="9" xr3:uid="{BAC5C0DC-A438-45DA-936C-A46CF2F508CE}" name="出金額（円）" dataCellStyle="桁区切り">
      <calculatedColumnFormula>直行便_預け金管理表[[#This Row],[出金額（元）]]*直行便_預け金管理表[[#This Row],[為替レート]]</calculatedColumnFormula>
    </tableColumn>
    <tableColumn id="10" xr3:uid="{ABDD18E9-60F2-4F2E-A0CC-CAD9B8516088}" name="残高（円）" dataCellStyle="桁区切り">
      <calculatedColumnFormula>IFERROR(J1-直行便_預け金管理表[[#This Row],[出金額（円）]],-直行便_預け金管理表[[#This Row],[出金額（円）]])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714854-1509-403C-8772-89D6AE8B951D}">
  <we:reference id="29673e3c-d826-4f00-92ee-162334a52b1a" version="1.0.0.5" store="EXCatalog" storeType="EXCatalog"/>
  <we:alternateReferences>
    <we:reference id="WA200009404" version="1.0.0.5" store="ja-JP" storeType="OMEX"/>
  </we:alternateReferences>
  <we:properties>
    <we:property name="Office.AutoShowTaskpaneWithDocument" value="true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FD582-CE75-473E-A020-DFDE05C5504D}">
  <dimension ref="A1:L166"/>
  <sheetViews>
    <sheetView workbookViewId="0">
      <selection activeCell="C11" sqref="C11"/>
    </sheetView>
  </sheetViews>
  <sheetFormatPr defaultRowHeight="18" x14ac:dyDescent="0.55000000000000004"/>
  <cols>
    <col min="1" max="1" width="16.9140625" customWidth="1"/>
    <col min="2" max="2" width="17.1640625" customWidth="1"/>
    <col min="3" max="3" width="11.5" customWidth="1"/>
    <col min="4" max="4" width="22.6640625" customWidth="1"/>
    <col min="5" max="5" width="12.6640625" customWidth="1"/>
  </cols>
  <sheetData>
    <row r="1" spans="1:12" x14ac:dyDescent="0.55000000000000004">
      <c r="A1" t="s">
        <v>132</v>
      </c>
      <c r="B1" t="s">
        <v>153</v>
      </c>
      <c r="C1" t="s">
        <v>154</v>
      </c>
      <c r="D1" t="s">
        <v>155</v>
      </c>
      <c r="E1" t="s">
        <v>156</v>
      </c>
      <c r="F1" t="s">
        <v>157</v>
      </c>
      <c r="G1" t="s">
        <v>158</v>
      </c>
      <c r="H1" t="s">
        <v>131</v>
      </c>
      <c r="I1" t="s">
        <v>159</v>
      </c>
      <c r="J1" t="s">
        <v>160</v>
      </c>
      <c r="K1" t="s">
        <v>161</v>
      </c>
      <c r="L1" t="s">
        <v>476</v>
      </c>
    </row>
    <row r="2" spans="1:12" x14ac:dyDescent="0.55000000000000004">
      <c r="A2" t="s">
        <v>0</v>
      </c>
      <c r="B2" t="s">
        <v>0</v>
      </c>
      <c r="C2" t="s">
        <v>162</v>
      </c>
      <c r="D2" t="s">
        <v>163</v>
      </c>
      <c r="E2" t="s">
        <v>164</v>
      </c>
      <c r="F2" t="s">
        <v>165</v>
      </c>
      <c r="G2" t="s">
        <v>166</v>
      </c>
      <c r="H2" t="s">
        <v>1</v>
      </c>
      <c r="I2" t="s">
        <v>167</v>
      </c>
      <c r="K2" t="s">
        <v>168</v>
      </c>
    </row>
    <row r="3" spans="1:12" x14ac:dyDescent="0.55000000000000004">
      <c r="A3" t="s">
        <v>169</v>
      </c>
      <c r="B3" t="s">
        <v>170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</v>
      </c>
      <c r="K3" t="s">
        <v>168</v>
      </c>
    </row>
    <row r="4" spans="1:12" x14ac:dyDescent="0.55000000000000004">
      <c r="A4" t="s">
        <v>171</v>
      </c>
      <c r="B4" t="s">
        <v>0</v>
      </c>
      <c r="C4" t="s">
        <v>162</v>
      </c>
      <c r="D4" t="s">
        <v>163</v>
      </c>
      <c r="E4" t="s">
        <v>164</v>
      </c>
      <c r="F4" t="s">
        <v>165</v>
      </c>
      <c r="G4" t="s">
        <v>166</v>
      </c>
      <c r="H4" t="s">
        <v>1</v>
      </c>
      <c r="K4" t="s">
        <v>168</v>
      </c>
    </row>
    <row r="5" spans="1:12" x14ac:dyDescent="0.55000000000000004">
      <c r="A5" t="s">
        <v>172</v>
      </c>
      <c r="B5" t="s">
        <v>170</v>
      </c>
      <c r="C5" t="s">
        <v>162</v>
      </c>
      <c r="D5" t="s">
        <v>163</v>
      </c>
      <c r="E5" t="s">
        <v>164</v>
      </c>
      <c r="F5" t="s">
        <v>165</v>
      </c>
      <c r="G5" t="s">
        <v>166</v>
      </c>
      <c r="H5" t="s">
        <v>1</v>
      </c>
      <c r="K5" t="s">
        <v>168</v>
      </c>
    </row>
    <row r="6" spans="1:12" x14ac:dyDescent="0.55000000000000004">
      <c r="A6" t="s">
        <v>152</v>
      </c>
      <c r="B6" t="s">
        <v>0</v>
      </c>
      <c r="C6" t="s">
        <v>162</v>
      </c>
      <c r="D6" t="s">
        <v>163</v>
      </c>
      <c r="E6" t="s">
        <v>164</v>
      </c>
      <c r="F6" t="s">
        <v>165</v>
      </c>
      <c r="G6" t="s">
        <v>166</v>
      </c>
      <c r="H6" t="s">
        <v>1</v>
      </c>
      <c r="K6" t="s">
        <v>168</v>
      </c>
    </row>
    <row r="7" spans="1:12" x14ac:dyDescent="0.55000000000000004">
      <c r="A7" t="s">
        <v>173</v>
      </c>
      <c r="B7" t="s">
        <v>170</v>
      </c>
      <c r="C7" t="s">
        <v>162</v>
      </c>
      <c r="D7" t="s">
        <v>163</v>
      </c>
      <c r="E7" t="s">
        <v>164</v>
      </c>
      <c r="F7" t="s">
        <v>8</v>
      </c>
      <c r="G7" t="s">
        <v>174</v>
      </c>
      <c r="H7" t="s">
        <v>1</v>
      </c>
      <c r="K7" t="s">
        <v>168</v>
      </c>
    </row>
    <row r="8" spans="1:12" x14ac:dyDescent="0.55000000000000004">
      <c r="A8" t="s">
        <v>175</v>
      </c>
      <c r="B8" t="s">
        <v>0</v>
      </c>
      <c r="C8" t="s">
        <v>162</v>
      </c>
      <c r="D8" t="s">
        <v>163</v>
      </c>
      <c r="E8" t="s">
        <v>164</v>
      </c>
      <c r="F8" t="s">
        <v>165</v>
      </c>
      <c r="G8" t="s">
        <v>166</v>
      </c>
      <c r="H8" t="s">
        <v>1</v>
      </c>
      <c r="K8" t="s">
        <v>168</v>
      </c>
    </row>
    <row r="9" spans="1:12" x14ac:dyDescent="0.55000000000000004">
      <c r="A9" t="s">
        <v>176</v>
      </c>
      <c r="B9" t="s">
        <v>170</v>
      </c>
      <c r="C9" t="s">
        <v>162</v>
      </c>
      <c r="D9" t="s">
        <v>163</v>
      </c>
      <c r="E9" t="s">
        <v>164</v>
      </c>
      <c r="F9" t="s">
        <v>8</v>
      </c>
      <c r="G9" t="s">
        <v>166</v>
      </c>
      <c r="H9" t="s">
        <v>1</v>
      </c>
      <c r="K9" t="s">
        <v>168</v>
      </c>
    </row>
    <row r="10" spans="1:12" x14ac:dyDescent="0.55000000000000004">
      <c r="A10" t="s">
        <v>147</v>
      </c>
      <c r="B10" t="s">
        <v>0</v>
      </c>
      <c r="C10" t="s">
        <v>162</v>
      </c>
      <c r="D10" t="s">
        <v>163</v>
      </c>
      <c r="E10" t="s">
        <v>164</v>
      </c>
      <c r="F10" t="s">
        <v>165</v>
      </c>
      <c r="G10" t="s">
        <v>166</v>
      </c>
      <c r="H10" t="s">
        <v>1</v>
      </c>
      <c r="K10" t="s">
        <v>168</v>
      </c>
    </row>
    <row r="11" spans="1:12" x14ac:dyDescent="0.55000000000000004">
      <c r="A11" t="s">
        <v>9</v>
      </c>
      <c r="B11" t="s">
        <v>9</v>
      </c>
      <c r="C11" t="s">
        <v>177</v>
      </c>
      <c r="D11" t="s">
        <v>163</v>
      </c>
      <c r="E11" t="s">
        <v>164</v>
      </c>
      <c r="F11" t="s">
        <v>165</v>
      </c>
      <c r="G11" t="s">
        <v>166</v>
      </c>
      <c r="H11" t="s">
        <v>1</v>
      </c>
      <c r="I11" t="s">
        <v>178</v>
      </c>
      <c r="J11">
        <v>120</v>
      </c>
      <c r="K11" t="s">
        <v>168</v>
      </c>
    </row>
    <row r="12" spans="1:12" x14ac:dyDescent="0.55000000000000004">
      <c r="A12" t="s">
        <v>179</v>
      </c>
      <c r="B12" t="s">
        <v>9</v>
      </c>
      <c r="C12" t="s">
        <v>177</v>
      </c>
      <c r="D12" t="s">
        <v>163</v>
      </c>
      <c r="E12" t="s">
        <v>164</v>
      </c>
      <c r="F12" t="s">
        <v>165</v>
      </c>
      <c r="G12" t="s">
        <v>166</v>
      </c>
      <c r="H12" t="s">
        <v>1</v>
      </c>
      <c r="I12" t="s">
        <v>180</v>
      </c>
      <c r="J12">
        <v>121</v>
      </c>
      <c r="K12" t="s">
        <v>168</v>
      </c>
    </row>
    <row r="13" spans="1:12" x14ac:dyDescent="0.55000000000000004">
      <c r="A13" t="s">
        <v>8</v>
      </c>
      <c r="B13" t="s">
        <v>8</v>
      </c>
      <c r="C13" t="s">
        <v>177</v>
      </c>
      <c r="D13" t="s">
        <v>163</v>
      </c>
      <c r="E13" t="s">
        <v>164</v>
      </c>
      <c r="F13" t="s">
        <v>165</v>
      </c>
      <c r="G13" t="s">
        <v>166</v>
      </c>
      <c r="H13" t="s">
        <v>1</v>
      </c>
      <c r="I13" t="s">
        <v>181</v>
      </c>
      <c r="J13">
        <v>130</v>
      </c>
      <c r="K13" t="s">
        <v>168</v>
      </c>
    </row>
    <row r="14" spans="1:12" x14ac:dyDescent="0.55000000000000004">
      <c r="A14" t="s">
        <v>165</v>
      </c>
      <c r="B14" t="s">
        <v>8</v>
      </c>
      <c r="C14" t="s">
        <v>177</v>
      </c>
      <c r="D14" t="s">
        <v>163</v>
      </c>
      <c r="E14" t="s">
        <v>164</v>
      </c>
      <c r="F14" t="s">
        <v>165</v>
      </c>
      <c r="G14" t="s">
        <v>166</v>
      </c>
      <c r="H14" t="s">
        <v>1</v>
      </c>
      <c r="I14" t="s">
        <v>182</v>
      </c>
      <c r="J14">
        <v>164</v>
      </c>
      <c r="K14" t="s">
        <v>168</v>
      </c>
    </row>
    <row r="15" spans="1:12" x14ac:dyDescent="0.55000000000000004">
      <c r="A15" t="s">
        <v>183</v>
      </c>
      <c r="B15" t="s">
        <v>183</v>
      </c>
      <c r="C15" t="s">
        <v>183</v>
      </c>
      <c r="D15" t="s">
        <v>163</v>
      </c>
      <c r="E15" t="s">
        <v>164</v>
      </c>
      <c r="F15" t="s">
        <v>165</v>
      </c>
      <c r="G15" t="s">
        <v>166</v>
      </c>
      <c r="H15" t="s">
        <v>1</v>
      </c>
      <c r="I15" t="s">
        <v>184</v>
      </c>
      <c r="J15">
        <v>140</v>
      </c>
      <c r="K15" t="s">
        <v>168</v>
      </c>
    </row>
    <row r="16" spans="1:12" x14ac:dyDescent="0.55000000000000004">
      <c r="A16" t="s">
        <v>185</v>
      </c>
      <c r="B16" t="s">
        <v>186</v>
      </c>
      <c r="C16" t="s">
        <v>186</v>
      </c>
      <c r="E16" t="s">
        <v>164</v>
      </c>
      <c r="F16" t="s">
        <v>165</v>
      </c>
      <c r="G16" t="s">
        <v>166</v>
      </c>
      <c r="H16" t="s">
        <v>187</v>
      </c>
      <c r="I16" t="s">
        <v>188</v>
      </c>
      <c r="J16">
        <v>280</v>
      </c>
      <c r="K16" t="s">
        <v>168</v>
      </c>
    </row>
    <row r="17" spans="1:11" x14ac:dyDescent="0.55000000000000004">
      <c r="A17" t="s">
        <v>189</v>
      </c>
      <c r="B17" t="s">
        <v>186</v>
      </c>
      <c r="C17" t="s">
        <v>186</v>
      </c>
      <c r="E17" t="s">
        <v>164</v>
      </c>
      <c r="F17" t="s">
        <v>165</v>
      </c>
      <c r="G17" t="s">
        <v>166</v>
      </c>
      <c r="H17" t="s">
        <v>187</v>
      </c>
      <c r="I17" t="s">
        <v>190</v>
      </c>
      <c r="J17">
        <v>281</v>
      </c>
      <c r="K17" t="s">
        <v>168</v>
      </c>
    </row>
    <row r="18" spans="1:11" x14ac:dyDescent="0.55000000000000004">
      <c r="A18" t="s">
        <v>148</v>
      </c>
      <c r="B18" t="s">
        <v>148</v>
      </c>
      <c r="C18" t="s">
        <v>191</v>
      </c>
      <c r="D18" t="s">
        <v>163</v>
      </c>
      <c r="E18" t="s">
        <v>164</v>
      </c>
      <c r="F18" t="s">
        <v>165</v>
      </c>
      <c r="G18" t="s">
        <v>166</v>
      </c>
      <c r="H18" t="s">
        <v>1</v>
      </c>
      <c r="I18" t="s">
        <v>192</v>
      </c>
      <c r="J18">
        <v>150</v>
      </c>
      <c r="K18" t="s">
        <v>168</v>
      </c>
    </row>
    <row r="19" spans="1:11" x14ac:dyDescent="0.55000000000000004">
      <c r="A19" t="s">
        <v>193</v>
      </c>
      <c r="B19" t="s">
        <v>148</v>
      </c>
      <c r="C19" t="s">
        <v>191</v>
      </c>
      <c r="D19" t="s">
        <v>163</v>
      </c>
      <c r="E19" t="s">
        <v>164</v>
      </c>
      <c r="F19" t="s">
        <v>165</v>
      </c>
      <c r="G19" t="s">
        <v>166</v>
      </c>
      <c r="H19" t="s">
        <v>1</v>
      </c>
      <c r="I19" t="s">
        <v>194</v>
      </c>
      <c r="J19">
        <v>151</v>
      </c>
      <c r="K19" t="s">
        <v>168</v>
      </c>
    </row>
    <row r="20" spans="1:11" x14ac:dyDescent="0.55000000000000004">
      <c r="A20" t="s">
        <v>195</v>
      </c>
      <c r="B20" t="s">
        <v>148</v>
      </c>
      <c r="C20" t="s">
        <v>191</v>
      </c>
      <c r="D20" t="s">
        <v>163</v>
      </c>
      <c r="E20" t="s">
        <v>164</v>
      </c>
      <c r="F20" t="s">
        <v>165</v>
      </c>
      <c r="G20" t="s">
        <v>166</v>
      </c>
      <c r="H20" t="s">
        <v>1</v>
      </c>
      <c r="I20" t="s">
        <v>196</v>
      </c>
      <c r="J20">
        <v>152</v>
      </c>
      <c r="K20" t="s">
        <v>168</v>
      </c>
    </row>
    <row r="21" spans="1:11" x14ac:dyDescent="0.55000000000000004">
      <c r="A21" t="s">
        <v>197</v>
      </c>
      <c r="B21" t="s">
        <v>148</v>
      </c>
      <c r="C21" t="s">
        <v>191</v>
      </c>
      <c r="D21" t="s">
        <v>163</v>
      </c>
      <c r="E21" t="s">
        <v>164</v>
      </c>
      <c r="F21" t="s">
        <v>165</v>
      </c>
      <c r="G21" t="s">
        <v>166</v>
      </c>
      <c r="H21" t="s">
        <v>1</v>
      </c>
      <c r="I21" t="s">
        <v>198</v>
      </c>
      <c r="J21">
        <v>153</v>
      </c>
      <c r="K21" t="s">
        <v>168</v>
      </c>
    </row>
    <row r="22" spans="1:11" x14ac:dyDescent="0.55000000000000004">
      <c r="A22" t="s">
        <v>199</v>
      </c>
      <c r="B22" t="s">
        <v>148</v>
      </c>
      <c r="C22" t="s">
        <v>191</v>
      </c>
      <c r="D22" t="s">
        <v>163</v>
      </c>
      <c r="E22" t="s">
        <v>164</v>
      </c>
      <c r="F22" t="s">
        <v>165</v>
      </c>
      <c r="G22" t="s">
        <v>166</v>
      </c>
      <c r="H22" t="s">
        <v>1</v>
      </c>
      <c r="I22" t="s">
        <v>200</v>
      </c>
      <c r="J22">
        <v>154</v>
      </c>
      <c r="K22" t="s">
        <v>168</v>
      </c>
    </row>
    <row r="23" spans="1:11" x14ac:dyDescent="0.55000000000000004">
      <c r="A23" t="s">
        <v>201</v>
      </c>
      <c r="B23" t="s">
        <v>148</v>
      </c>
      <c r="C23" t="s">
        <v>191</v>
      </c>
      <c r="D23" t="s">
        <v>163</v>
      </c>
      <c r="E23" t="s">
        <v>164</v>
      </c>
      <c r="F23" t="s">
        <v>165</v>
      </c>
      <c r="G23" t="s">
        <v>166</v>
      </c>
      <c r="H23" t="s">
        <v>1</v>
      </c>
      <c r="I23" t="s">
        <v>202</v>
      </c>
      <c r="J23">
        <v>155</v>
      </c>
      <c r="K23" t="s">
        <v>168</v>
      </c>
    </row>
    <row r="24" spans="1:11" x14ac:dyDescent="0.55000000000000004">
      <c r="A24" t="s">
        <v>203</v>
      </c>
      <c r="B24" t="s">
        <v>148</v>
      </c>
      <c r="C24" t="s">
        <v>191</v>
      </c>
      <c r="D24" t="s">
        <v>163</v>
      </c>
      <c r="E24" t="s">
        <v>164</v>
      </c>
      <c r="F24" t="s">
        <v>165</v>
      </c>
      <c r="G24" t="s">
        <v>166</v>
      </c>
      <c r="H24" t="s">
        <v>1</v>
      </c>
      <c r="I24" t="s">
        <v>204</v>
      </c>
      <c r="J24">
        <v>156</v>
      </c>
      <c r="K24" t="s">
        <v>168</v>
      </c>
    </row>
    <row r="25" spans="1:11" x14ac:dyDescent="0.55000000000000004">
      <c r="A25" t="s">
        <v>205</v>
      </c>
      <c r="B25" t="s">
        <v>205</v>
      </c>
      <c r="C25" t="s">
        <v>205</v>
      </c>
      <c r="E25" t="s">
        <v>164</v>
      </c>
      <c r="F25" t="s">
        <v>165</v>
      </c>
      <c r="G25" t="s">
        <v>166</v>
      </c>
      <c r="H25" t="s">
        <v>1</v>
      </c>
      <c r="I25" t="s">
        <v>206</v>
      </c>
      <c r="J25">
        <v>291</v>
      </c>
      <c r="K25" t="s">
        <v>168</v>
      </c>
    </row>
    <row r="26" spans="1:11" x14ac:dyDescent="0.55000000000000004">
      <c r="A26" t="s">
        <v>207</v>
      </c>
      <c r="B26" t="s">
        <v>205</v>
      </c>
      <c r="C26" t="s">
        <v>205</v>
      </c>
      <c r="E26" t="s">
        <v>164</v>
      </c>
      <c r="F26" t="s">
        <v>165</v>
      </c>
      <c r="G26" t="s">
        <v>166</v>
      </c>
      <c r="H26" t="s">
        <v>1</v>
      </c>
      <c r="I26" t="s">
        <v>208</v>
      </c>
      <c r="J26">
        <v>292</v>
      </c>
      <c r="K26" t="s">
        <v>168</v>
      </c>
    </row>
    <row r="27" spans="1:11" x14ac:dyDescent="0.55000000000000004">
      <c r="A27" t="s">
        <v>209</v>
      </c>
      <c r="B27" t="s">
        <v>205</v>
      </c>
      <c r="C27" t="s">
        <v>205</v>
      </c>
      <c r="E27" t="s">
        <v>164</v>
      </c>
      <c r="F27" t="s">
        <v>165</v>
      </c>
      <c r="G27" t="s">
        <v>166</v>
      </c>
      <c r="H27" t="s">
        <v>1</v>
      </c>
      <c r="I27" t="s">
        <v>210</v>
      </c>
      <c r="J27">
        <v>850</v>
      </c>
      <c r="K27" t="s">
        <v>211</v>
      </c>
    </row>
    <row r="28" spans="1:11" x14ac:dyDescent="0.55000000000000004">
      <c r="A28" t="s">
        <v>212</v>
      </c>
      <c r="B28" t="s">
        <v>205</v>
      </c>
      <c r="C28" t="s">
        <v>205</v>
      </c>
      <c r="E28" t="s">
        <v>164</v>
      </c>
      <c r="F28" t="s">
        <v>165</v>
      </c>
      <c r="G28" t="s">
        <v>166</v>
      </c>
      <c r="H28" t="s">
        <v>1</v>
      </c>
      <c r="I28" t="s">
        <v>213</v>
      </c>
      <c r="J28">
        <v>852</v>
      </c>
      <c r="K28" t="s">
        <v>211</v>
      </c>
    </row>
    <row r="29" spans="1:11" x14ac:dyDescent="0.55000000000000004">
      <c r="A29" t="s">
        <v>214</v>
      </c>
      <c r="B29" t="s">
        <v>205</v>
      </c>
      <c r="C29" t="s">
        <v>205</v>
      </c>
      <c r="E29" t="s">
        <v>164</v>
      </c>
      <c r="F29" t="s">
        <v>165</v>
      </c>
      <c r="G29" t="s">
        <v>166</v>
      </c>
      <c r="H29" t="s">
        <v>1</v>
      </c>
      <c r="I29" t="s">
        <v>215</v>
      </c>
      <c r="J29">
        <v>853</v>
      </c>
      <c r="K29" t="s">
        <v>211</v>
      </c>
    </row>
    <row r="30" spans="1:11" x14ac:dyDescent="0.55000000000000004">
      <c r="A30" t="s">
        <v>216</v>
      </c>
      <c r="B30" t="s">
        <v>216</v>
      </c>
      <c r="C30" t="s">
        <v>217</v>
      </c>
      <c r="D30" t="s">
        <v>163</v>
      </c>
      <c r="E30" t="s">
        <v>164</v>
      </c>
      <c r="F30" t="s">
        <v>165</v>
      </c>
      <c r="G30" t="s">
        <v>166</v>
      </c>
      <c r="H30" t="s">
        <v>1</v>
      </c>
      <c r="I30" t="s">
        <v>218</v>
      </c>
      <c r="J30">
        <v>160</v>
      </c>
      <c r="K30" t="s">
        <v>168</v>
      </c>
    </row>
    <row r="31" spans="1:11" x14ac:dyDescent="0.55000000000000004">
      <c r="A31" t="s">
        <v>219</v>
      </c>
      <c r="B31" t="s">
        <v>216</v>
      </c>
      <c r="C31" t="s">
        <v>217</v>
      </c>
      <c r="D31" t="s">
        <v>163</v>
      </c>
      <c r="E31" t="s">
        <v>164</v>
      </c>
      <c r="F31" t="s">
        <v>165</v>
      </c>
      <c r="G31" t="s">
        <v>166</v>
      </c>
      <c r="H31" t="s">
        <v>1</v>
      </c>
      <c r="I31" t="s">
        <v>218</v>
      </c>
      <c r="J31">
        <v>161</v>
      </c>
      <c r="K31" t="s">
        <v>168</v>
      </c>
    </row>
    <row r="32" spans="1:11" x14ac:dyDescent="0.55000000000000004">
      <c r="A32" t="s">
        <v>220</v>
      </c>
      <c r="B32" t="s">
        <v>216</v>
      </c>
      <c r="C32" t="s">
        <v>217</v>
      </c>
      <c r="D32" t="s">
        <v>163</v>
      </c>
      <c r="E32" t="s">
        <v>164</v>
      </c>
      <c r="F32" t="s">
        <v>165</v>
      </c>
      <c r="G32" t="s">
        <v>166</v>
      </c>
      <c r="H32" t="s">
        <v>1</v>
      </c>
      <c r="I32" t="s">
        <v>221</v>
      </c>
      <c r="J32">
        <v>166</v>
      </c>
      <c r="K32" t="s">
        <v>168</v>
      </c>
    </row>
    <row r="33" spans="1:11" x14ac:dyDescent="0.55000000000000004">
      <c r="A33" t="s">
        <v>146</v>
      </c>
      <c r="B33" t="s">
        <v>216</v>
      </c>
      <c r="C33" t="s">
        <v>217</v>
      </c>
      <c r="D33" t="s">
        <v>163</v>
      </c>
      <c r="E33" t="s">
        <v>164</v>
      </c>
      <c r="F33" t="s">
        <v>165</v>
      </c>
      <c r="G33" t="s">
        <v>166</v>
      </c>
      <c r="H33" t="s">
        <v>1</v>
      </c>
      <c r="I33" t="s">
        <v>222</v>
      </c>
      <c r="J33">
        <v>167</v>
      </c>
      <c r="K33" t="s">
        <v>168</v>
      </c>
    </row>
    <row r="34" spans="1:11" x14ac:dyDescent="0.55000000000000004">
      <c r="A34" t="s">
        <v>223</v>
      </c>
      <c r="B34" t="s">
        <v>216</v>
      </c>
      <c r="C34" t="s">
        <v>217</v>
      </c>
      <c r="D34" t="s">
        <v>163</v>
      </c>
      <c r="E34" t="s">
        <v>164</v>
      </c>
      <c r="F34" t="s">
        <v>165</v>
      </c>
      <c r="G34" t="s">
        <v>166</v>
      </c>
      <c r="H34" t="s">
        <v>1</v>
      </c>
      <c r="I34" t="s">
        <v>224</v>
      </c>
      <c r="J34">
        <v>211</v>
      </c>
      <c r="K34" t="s">
        <v>168</v>
      </c>
    </row>
    <row r="35" spans="1:11" x14ac:dyDescent="0.55000000000000004">
      <c r="A35" t="s">
        <v>225</v>
      </c>
      <c r="B35" t="s">
        <v>225</v>
      </c>
      <c r="C35" t="s">
        <v>217</v>
      </c>
      <c r="D35" t="s">
        <v>163</v>
      </c>
      <c r="E35" t="s">
        <v>164</v>
      </c>
      <c r="F35" t="s">
        <v>165</v>
      </c>
      <c r="G35" t="s">
        <v>166</v>
      </c>
      <c r="H35" t="s">
        <v>1</v>
      </c>
      <c r="I35" t="s">
        <v>226</v>
      </c>
      <c r="J35">
        <v>163</v>
      </c>
      <c r="K35" t="s">
        <v>168</v>
      </c>
    </row>
    <row r="36" spans="1:11" x14ac:dyDescent="0.55000000000000004">
      <c r="A36" t="s">
        <v>227</v>
      </c>
      <c r="B36" t="s">
        <v>227</v>
      </c>
      <c r="C36" t="s">
        <v>217</v>
      </c>
      <c r="D36" t="s">
        <v>163</v>
      </c>
      <c r="E36" t="s">
        <v>164</v>
      </c>
      <c r="F36" t="s">
        <v>165</v>
      </c>
      <c r="G36" t="s">
        <v>166</v>
      </c>
      <c r="H36" t="s">
        <v>1</v>
      </c>
      <c r="I36" t="s">
        <v>228</v>
      </c>
      <c r="J36">
        <v>162</v>
      </c>
      <c r="K36" t="s">
        <v>168</v>
      </c>
    </row>
    <row r="37" spans="1:11" x14ac:dyDescent="0.55000000000000004">
      <c r="A37" t="s">
        <v>229</v>
      </c>
      <c r="B37" t="s">
        <v>230</v>
      </c>
      <c r="C37" t="s">
        <v>217</v>
      </c>
      <c r="D37" t="s">
        <v>163</v>
      </c>
      <c r="E37" t="s">
        <v>164</v>
      </c>
      <c r="F37" t="s">
        <v>165</v>
      </c>
      <c r="G37" t="s">
        <v>166</v>
      </c>
      <c r="H37" t="s">
        <v>1</v>
      </c>
      <c r="I37" t="s">
        <v>231</v>
      </c>
      <c r="J37">
        <v>165</v>
      </c>
      <c r="K37" t="s">
        <v>168</v>
      </c>
    </row>
    <row r="38" spans="1:11" x14ac:dyDescent="0.55000000000000004">
      <c r="A38" t="s">
        <v>232</v>
      </c>
      <c r="B38" t="s">
        <v>232</v>
      </c>
      <c r="C38" t="s">
        <v>217</v>
      </c>
      <c r="D38" t="s">
        <v>163</v>
      </c>
      <c r="E38" t="s">
        <v>164</v>
      </c>
      <c r="F38" t="s">
        <v>165</v>
      </c>
      <c r="G38" t="s">
        <v>166</v>
      </c>
      <c r="H38" t="s">
        <v>187</v>
      </c>
      <c r="I38" t="s">
        <v>222</v>
      </c>
      <c r="J38">
        <v>181</v>
      </c>
      <c r="K38" t="s">
        <v>168</v>
      </c>
    </row>
    <row r="39" spans="1:11" x14ac:dyDescent="0.55000000000000004">
      <c r="A39" t="s">
        <v>233</v>
      </c>
      <c r="B39" t="s">
        <v>233</v>
      </c>
      <c r="C39" t="s">
        <v>234</v>
      </c>
      <c r="E39" t="s">
        <v>164</v>
      </c>
      <c r="F39" t="s">
        <v>165</v>
      </c>
      <c r="G39" t="s">
        <v>166</v>
      </c>
      <c r="H39" t="s">
        <v>1</v>
      </c>
      <c r="I39" t="s">
        <v>235</v>
      </c>
      <c r="J39">
        <v>0</v>
      </c>
      <c r="K39" t="s">
        <v>168</v>
      </c>
    </row>
    <row r="40" spans="1:11" x14ac:dyDescent="0.55000000000000004">
      <c r="A40" t="s">
        <v>236</v>
      </c>
      <c r="B40" t="s">
        <v>233</v>
      </c>
      <c r="C40" t="s">
        <v>234</v>
      </c>
      <c r="E40" t="s">
        <v>164</v>
      </c>
      <c r="F40" t="s">
        <v>165</v>
      </c>
      <c r="G40" t="s">
        <v>166</v>
      </c>
      <c r="H40" t="s">
        <v>1</v>
      </c>
      <c r="K40" t="s">
        <v>168</v>
      </c>
    </row>
    <row r="41" spans="1:11" x14ac:dyDescent="0.55000000000000004">
      <c r="A41" t="s">
        <v>234</v>
      </c>
      <c r="B41" t="s">
        <v>233</v>
      </c>
      <c r="C41" t="s">
        <v>234</v>
      </c>
      <c r="E41" t="s">
        <v>164</v>
      </c>
      <c r="F41" t="s">
        <v>165</v>
      </c>
      <c r="G41" t="s">
        <v>166</v>
      </c>
      <c r="H41" t="s">
        <v>1</v>
      </c>
      <c r="K41" t="s">
        <v>168</v>
      </c>
    </row>
    <row r="42" spans="1:11" x14ac:dyDescent="0.55000000000000004">
      <c r="A42" t="s">
        <v>237</v>
      </c>
      <c r="B42" t="s">
        <v>237</v>
      </c>
      <c r="C42" t="s">
        <v>238</v>
      </c>
      <c r="E42" t="s">
        <v>164</v>
      </c>
      <c r="F42" t="s">
        <v>165</v>
      </c>
      <c r="G42" t="s">
        <v>166</v>
      </c>
      <c r="H42" t="s">
        <v>239</v>
      </c>
      <c r="I42" t="s">
        <v>240</v>
      </c>
      <c r="J42">
        <v>1</v>
      </c>
      <c r="K42" t="s">
        <v>168</v>
      </c>
    </row>
    <row r="43" spans="1:11" x14ac:dyDescent="0.55000000000000004">
      <c r="A43" t="s">
        <v>241</v>
      </c>
      <c r="B43" t="s">
        <v>241</v>
      </c>
      <c r="C43" t="s">
        <v>242</v>
      </c>
      <c r="D43" t="s">
        <v>243</v>
      </c>
      <c r="E43" t="s">
        <v>164</v>
      </c>
      <c r="F43" t="s">
        <v>165</v>
      </c>
      <c r="G43" t="s">
        <v>166</v>
      </c>
      <c r="H43" t="s">
        <v>187</v>
      </c>
      <c r="I43" t="s">
        <v>244</v>
      </c>
      <c r="J43">
        <v>200</v>
      </c>
      <c r="K43" t="s">
        <v>168</v>
      </c>
    </row>
    <row r="44" spans="1:11" x14ac:dyDescent="0.55000000000000004">
      <c r="A44" t="s">
        <v>245</v>
      </c>
      <c r="B44" t="s">
        <v>245</v>
      </c>
      <c r="C44" t="s">
        <v>242</v>
      </c>
      <c r="D44" t="s">
        <v>243</v>
      </c>
      <c r="E44" t="s">
        <v>164</v>
      </c>
      <c r="F44" t="s">
        <v>165</v>
      </c>
      <c r="G44" t="s">
        <v>166</v>
      </c>
      <c r="H44" t="s">
        <v>187</v>
      </c>
      <c r="I44" t="s">
        <v>246</v>
      </c>
      <c r="J44">
        <v>201</v>
      </c>
      <c r="K44" t="s">
        <v>168</v>
      </c>
    </row>
    <row r="45" spans="1:11" x14ac:dyDescent="0.55000000000000004">
      <c r="A45" t="s">
        <v>247</v>
      </c>
      <c r="B45" t="s">
        <v>245</v>
      </c>
      <c r="C45" t="s">
        <v>242</v>
      </c>
      <c r="D45" t="s">
        <v>243</v>
      </c>
      <c r="E45" t="s">
        <v>164</v>
      </c>
      <c r="F45" t="s">
        <v>165</v>
      </c>
      <c r="G45" t="s">
        <v>166</v>
      </c>
      <c r="H45" t="s">
        <v>187</v>
      </c>
      <c r="I45" t="s">
        <v>248</v>
      </c>
      <c r="J45">
        <v>202</v>
      </c>
      <c r="K45" t="s">
        <v>168</v>
      </c>
    </row>
    <row r="46" spans="1:11" x14ac:dyDescent="0.55000000000000004">
      <c r="A46" t="s">
        <v>249</v>
      </c>
      <c r="B46" t="s">
        <v>249</v>
      </c>
      <c r="C46" t="s">
        <v>242</v>
      </c>
      <c r="D46" t="s">
        <v>243</v>
      </c>
      <c r="E46" t="s">
        <v>164</v>
      </c>
      <c r="F46" t="s">
        <v>165</v>
      </c>
      <c r="G46" t="s">
        <v>166</v>
      </c>
      <c r="H46" t="s">
        <v>187</v>
      </c>
      <c r="I46" t="s">
        <v>250</v>
      </c>
      <c r="J46">
        <v>203</v>
      </c>
      <c r="K46" t="s">
        <v>168</v>
      </c>
    </row>
    <row r="47" spans="1:11" x14ac:dyDescent="0.55000000000000004">
      <c r="A47" t="s">
        <v>251</v>
      </c>
      <c r="B47" t="s">
        <v>251</v>
      </c>
      <c r="C47" t="s">
        <v>242</v>
      </c>
      <c r="D47" t="s">
        <v>243</v>
      </c>
      <c r="E47" t="s">
        <v>164</v>
      </c>
      <c r="F47" t="s">
        <v>165</v>
      </c>
      <c r="G47" t="s">
        <v>166</v>
      </c>
      <c r="H47" t="s">
        <v>187</v>
      </c>
      <c r="I47" t="s">
        <v>252</v>
      </c>
      <c r="J47">
        <v>204</v>
      </c>
      <c r="K47" t="s">
        <v>168</v>
      </c>
    </row>
    <row r="48" spans="1:11" x14ac:dyDescent="0.55000000000000004">
      <c r="A48" t="s">
        <v>253</v>
      </c>
      <c r="B48" t="s">
        <v>253</v>
      </c>
      <c r="C48" t="s">
        <v>242</v>
      </c>
      <c r="D48" t="s">
        <v>243</v>
      </c>
      <c r="E48" t="s">
        <v>164</v>
      </c>
      <c r="F48" t="s">
        <v>165</v>
      </c>
      <c r="G48" t="s">
        <v>166</v>
      </c>
      <c r="H48" t="s">
        <v>187</v>
      </c>
      <c r="I48" t="s">
        <v>254</v>
      </c>
      <c r="J48">
        <v>206</v>
      </c>
      <c r="K48" t="s">
        <v>168</v>
      </c>
    </row>
    <row r="49" spans="1:11" x14ac:dyDescent="0.55000000000000004">
      <c r="A49" t="s">
        <v>255</v>
      </c>
      <c r="B49" t="s">
        <v>255</v>
      </c>
      <c r="C49" t="s">
        <v>242</v>
      </c>
      <c r="D49" t="s">
        <v>243</v>
      </c>
      <c r="E49" t="s">
        <v>164</v>
      </c>
      <c r="F49" t="s">
        <v>165</v>
      </c>
      <c r="G49" t="s">
        <v>166</v>
      </c>
      <c r="H49" t="s">
        <v>1</v>
      </c>
      <c r="I49" t="s">
        <v>256</v>
      </c>
      <c r="J49">
        <v>210</v>
      </c>
      <c r="K49" t="s">
        <v>168</v>
      </c>
    </row>
    <row r="50" spans="1:11" x14ac:dyDescent="0.55000000000000004">
      <c r="A50" t="s">
        <v>257</v>
      </c>
      <c r="B50" t="s">
        <v>257</v>
      </c>
      <c r="C50" t="s">
        <v>242</v>
      </c>
      <c r="D50" t="s">
        <v>243</v>
      </c>
      <c r="E50" t="s">
        <v>164</v>
      </c>
      <c r="F50" t="s">
        <v>165</v>
      </c>
      <c r="G50" t="s">
        <v>166</v>
      </c>
      <c r="H50" t="s">
        <v>187</v>
      </c>
      <c r="I50" t="s">
        <v>258</v>
      </c>
      <c r="J50">
        <v>212</v>
      </c>
      <c r="K50" t="s">
        <v>168</v>
      </c>
    </row>
    <row r="51" spans="1:11" x14ac:dyDescent="0.55000000000000004">
      <c r="A51" t="s">
        <v>259</v>
      </c>
      <c r="B51" t="s">
        <v>260</v>
      </c>
      <c r="C51" t="s">
        <v>261</v>
      </c>
      <c r="D51" t="s">
        <v>243</v>
      </c>
      <c r="E51" t="s">
        <v>164</v>
      </c>
      <c r="F51" t="s">
        <v>165</v>
      </c>
      <c r="G51" t="s">
        <v>166</v>
      </c>
      <c r="H51" t="s">
        <v>187</v>
      </c>
      <c r="I51" t="s">
        <v>262</v>
      </c>
      <c r="J51">
        <v>250</v>
      </c>
      <c r="K51" t="s">
        <v>168</v>
      </c>
    </row>
    <row r="52" spans="1:11" x14ac:dyDescent="0.55000000000000004">
      <c r="A52" t="s">
        <v>263</v>
      </c>
      <c r="B52" t="s">
        <v>260</v>
      </c>
      <c r="C52" t="s">
        <v>261</v>
      </c>
      <c r="D52" t="s">
        <v>243</v>
      </c>
      <c r="E52" t="s">
        <v>164</v>
      </c>
      <c r="F52" t="s">
        <v>165</v>
      </c>
      <c r="G52" t="s">
        <v>166</v>
      </c>
      <c r="H52" t="s">
        <v>187</v>
      </c>
      <c r="I52" t="s">
        <v>264</v>
      </c>
      <c r="J52">
        <v>251</v>
      </c>
      <c r="K52" t="s">
        <v>168</v>
      </c>
    </row>
    <row r="53" spans="1:11" x14ac:dyDescent="0.55000000000000004">
      <c r="A53" t="s">
        <v>265</v>
      </c>
      <c r="B53" t="s">
        <v>260</v>
      </c>
      <c r="C53" t="s">
        <v>261</v>
      </c>
      <c r="D53" t="s">
        <v>243</v>
      </c>
      <c r="E53" t="s">
        <v>164</v>
      </c>
      <c r="F53" t="s">
        <v>165</v>
      </c>
      <c r="G53" t="s">
        <v>166</v>
      </c>
      <c r="H53" t="s">
        <v>187</v>
      </c>
      <c r="I53" t="s">
        <v>266</v>
      </c>
      <c r="J53">
        <v>252</v>
      </c>
      <c r="K53" t="s">
        <v>168</v>
      </c>
    </row>
    <row r="54" spans="1:11" x14ac:dyDescent="0.55000000000000004">
      <c r="A54" t="s">
        <v>267</v>
      </c>
      <c r="B54" t="s">
        <v>260</v>
      </c>
      <c r="C54" t="s">
        <v>261</v>
      </c>
      <c r="D54" t="s">
        <v>243</v>
      </c>
      <c r="E54" t="s">
        <v>164</v>
      </c>
      <c r="F54" t="s">
        <v>165</v>
      </c>
      <c r="G54" t="s">
        <v>166</v>
      </c>
      <c r="H54" t="s">
        <v>1</v>
      </c>
      <c r="I54" t="s">
        <v>268</v>
      </c>
      <c r="J54">
        <v>253</v>
      </c>
      <c r="K54" t="s">
        <v>168</v>
      </c>
    </row>
    <row r="55" spans="1:11" x14ac:dyDescent="0.55000000000000004">
      <c r="A55" t="s">
        <v>269</v>
      </c>
      <c r="B55" t="s">
        <v>269</v>
      </c>
      <c r="C55" t="s">
        <v>261</v>
      </c>
      <c r="D55" t="s">
        <v>243</v>
      </c>
      <c r="E55" t="s">
        <v>164</v>
      </c>
      <c r="F55" t="s">
        <v>165</v>
      </c>
      <c r="G55" t="s">
        <v>166</v>
      </c>
      <c r="H55" t="s">
        <v>187</v>
      </c>
      <c r="I55" t="s">
        <v>270</v>
      </c>
      <c r="J55">
        <v>255</v>
      </c>
      <c r="K55" t="s">
        <v>168</v>
      </c>
    </row>
    <row r="56" spans="1:11" x14ac:dyDescent="0.55000000000000004">
      <c r="A56" t="s">
        <v>271</v>
      </c>
      <c r="B56" t="s">
        <v>272</v>
      </c>
      <c r="C56" t="s">
        <v>273</v>
      </c>
      <c r="D56" t="s">
        <v>243</v>
      </c>
      <c r="E56" t="s">
        <v>164</v>
      </c>
      <c r="F56" t="s">
        <v>165</v>
      </c>
      <c r="G56" t="s">
        <v>166</v>
      </c>
      <c r="H56" t="s">
        <v>1</v>
      </c>
      <c r="I56" t="s">
        <v>274</v>
      </c>
      <c r="J56">
        <v>260</v>
      </c>
      <c r="K56" t="s">
        <v>168</v>
      </c>
    </row>
    <row r="57" spans="1:11" x14ac:dyDescent="0.55000000000000004">
      <c r="A57" t="s">
        <v>275</v>
      </c>
      <c r="B57" t="s">
        <v>272</v>
      </c>
      <c r="C57" t="s">
        <v>273</v>
      </c>
      <c r="D57" t="s">
        <v>243</v>
      </c>
      <c r="E57" t="s">
        <v>164</v>
      </c>
      <c r="F57" t="s">
        <v>165</v>
      </c>
      <c r="G57" t="s">
        <v>166</v>
      </c>
      <c r="H57" t="s">
        <v>1</v>
      </c>
      <c r="I57" t="s">
        <v>276</v>
      </c>
      <c r="J57">
        <v>261</v>
      </c>
      <c r="K57" t="s">
        <v>168</v>
      </c>
    </row>
    <row r="58" spans="1:11" x14ac:dyDescent="0.55000000000000004">
      <c r="A58" t="s">
        <v>277</v>
      </c>
      <c r="B58" t="s">
        <v>272</v>
      </c>
      <c r="C58" t="s">
        <v>273</v>
      </c>
      <c r="D58" t="s">
        <v>243</v>
      </c>
      <c r="E58" t="s">
        <v>164</v>
      </c>
      <c r="F58" t="s">
        <v>165</v>
      </c>
      <c r="G58" t="s">
        <v>166</v>
      </c>
      <c r="H58" t="s">
        <v>1</v>
      </c>
      <c r="I58" t="s">
        <v>278</v>
      </c>
      <c r="J58">
        <v>262</v>
      </c>
      <c r="K58" t="s">
        <v>168</v>
      </c>
    </row>
    <row r="59" spans="1:11" x14ac:dyDescent="0.55000000000000004">
      <c r="A59" t="s">
        <v>279</v>
      </c>
      <c r="B59" t="s">
        <v>272</v>
      </c>
      <c r="C59" t="s">
        <v>273</v>
      </c>
      <c r="D59" t="s">
        <v>243</v>
      </c>
      <c r="E59" t="s">
        <v>164</v>
      </c>
      <c r="F59" t="s">
        <v>165</v>
      </c>
      <c r="G59" t="s">
        <v>166</v>
      </c>
      <c r="H59" t="s">
        <v>1</v>
      </c>
      <c r="I59" t="s">
        <v>280</v>
      </c>
      <c r="J59">
        <v>263</v>
      </c>
      <c r="K59" t="s">
        <v>168</v>
      </c>
    </row>
    <row r="60" spans="1:11" x14ac:dyDescent="0.55000000000000004">
      <c r="A60" t="s">
        <v>281</v>
      </c>
      <c r="B60" t="s">
        <v>272</v>
      </c>
      <c r="C60" t="s">
        <v>273</v>
      </c>
      <c r="D60" t="s">
        <v>243</v>
      </c>
      <c r="E60" t="s">
        <v>164</v>
      </c>
      <c r="F60" t="s">
        <v>165</v>
      </c>
      <c r="G60" t="s">
        <v>166</v>
      </c>
      <c r="H60" t="s">
        <v>1</v>
      </c>
      <c r="I60" t="s">
        <v>282</v>
      </c>
      <c r="J60">
        <v>264</v>
      </c>
      <c r="K60" t="s">
        <v>168</v>
      </c>
    </row>
    <row r="61" spans="1:11" x14ac:dyDescent="0.55000000000000004">
      <c r="A61" t="s">
        <v>283</v>
      </c>
      <c r="B61" t="s">
        <v>272</v>
      </c>
      <c r="C61" t="s">
        <v>273</v>
      </c>
      <c r="D61" t="s">
        <v>243</v>
      </c>
      <c r="E61" t="s">
        <v>164</v>
      </c>
      <c r="F61" t="s">
        <v>165</v>
      </c>
      <c r="G61" t="s">
        <v>166</v>
      </c>
      <c r="H61" t="s">
        <v>1</v>
      </c>
      <c r="I61" t="s">
        <v>284</v>
      </c>
      <c r="J61">
        <v>265</v>
      </c>
      <c r="K61" t="s">
        <v>168</v>
      </c>
    </row>
    <row r="62" spans="1:11" x14ac:dyDescent="0.55000000000000004">
      <c r="A62" t="s">
        <v>285</v>
      </c>
      <c r="B62" t="s">
        <v>272</v>
      </c>
      <c r="C62" t="s">
        <v>273</v>
      </c>
      <c r="D62" t="s">
        <v>243</v>
      </c>
      <c r="E62" t="s">
        <v>164</v>
      </c>
      <c r="F62" t="s">
        <v>165</v>
      </c>
      <c r="G62" t="s">
        <v>166</v>
      </c>
      <c r="H62" t="s">
        <v>1</v>
      </c>
      <c r="I62" t="s">
        <v>286</v>
      </c>
      <c r="J62">
        <v>267</v>
      </c>
      <c r="K62" t="s">
        <v>168</v>
      </c>
    </row>
    <row r="63" spans="1:11" x14ac:dyDescent="0.55000000000000004">
      <c r="A63" t="s">
        <v>287</v>
      </c>
      <c r="B63" t="s">
        <v>272</v>
      </c>
      <c r="C63" t="s">
        <v>273</v>
      </c>
      <c r="D63" t="s">
        <v>243</v>
      </c>
      <c r="E63" t="s">
        <v>164</v>
      </c>
      <c r="F63" t="s">
        <v>165</v>
      </c>
      <c r="G63" t="s">
        <v>166</v>
      </c>
      <c r="H63" t="s">
        <v>1</v>
      </c>
      <c r="I63" t="s">
        <v>288</v>
      </c>
      <c r="J63">
        <v>268</v>
      </c>
      <c r="K63" t="s">
        <v>168</v>
      </c>
    </row>
    <row r="64" spans="1:11" x14ac:dyDescent="0.55000000000000004">
      <c r="A64" t="s">
        <v>289</v>
      </c>
      <c r="B64" t="s">
        <v>272</v>
      </c>
      <c r="C64" t="s">
        <v>273</v>
      </c>
      <c r="D64" t="s">
        <v>243</v>
      </c>
      <c r="E64" t="s">
        <v>164</v>
      </c>
      <c r="F64" t="s">
        <v>165</v>
      </c>
      <c r="G64" t="s">
        <v>166</v>
      </c>
      <c r="H64" t="s">
        <v>1</v>
      </c>
      <c r="I64" t="s">
        <v>290</v>
      </c>
      <c r="J64">
        <v>269</v>
      </c>
      <c r="K64" t="s">
        <v>168</v>
      </c>
    </row>
    <row r="65" spans="1:11" x14ac:dyDescent="0.55000000000000004">
      <c r="A65" t="s">
        <v>291</v>
      </c>
      <c r="B65" t="s">
        <v>291</v>
      </c>
      <c r="C65" t="s">
        <v>292</v>
      </c>
      <c r="D65" t="s">
        <v>293</v>
      </c>
      <c r="E65" t="s">
        <v>294</v>
      </c>
      <c r="F65" t="s">
        <v>165</v>
      </c>
      <c r="G65" t="s">
        <v>166</v>
      </c>
      <c r="H65" t="s">
        <v>1</v>
      </c>
      <c r="I65" t="s">
        <v>295</v>
      </c>
      <c r="J65">
        <v>300</v>
      </c>
      <c r="K65" t="s">
        <v>168</v>
      </c>
    </row>
    <row r="66" spans="1:11" x14ac:dyDescent="0.55000000000000004">
      <c r="A66" t="s">
        <v>296</v>
      </c>
      <c r="B66" t="s">
        <v>291</v>
      </c>
      <c r="C66" t="s">
        <v>292</v>
      </c>
      <c r="D66" t="s">
        <v>293</v>
      </c>
      <c r="E66" t="s">
        <v>294</v>
      </c>
      <c r="F66" t="s">
        <v>165</v>
      </c>
      <c r="G66" t="s">
        <v>166</v>
      </c>
      <c r="H66" t="s">
        <v>1</v>
      </c>
      <c r="I66" t="s">
        <v>297</v>
      </c>
      <c r="J66">
        <v>321</v>
      </c>
      <c r="K66" t="s">
        <v>168</v>
      </c>
    </row>
    <row r="67" spans="1:11" x14ac:dyDescent="0.55000000000000004">
      <c r="A67" t="s">
        <v>298</v>
      </c>
      <c r="B67" t="s">
        <v>291</v>
      </c>
      <c r="C67" t="s">
        <v>292</v>
      </c>
      <c r="D67" t="s">
        <v>293</v>
      </c>
      <c r="E67" t="s">
        <v>294</v>
      </c>
      <c r="F67" t="s">
        <v>165</v>
      </c>
      <c r="G67" t="s">
        <v>166</v>
      </c>
      <c r="H67" t="s">
        <v>1</v>
      </c>
      <c r="I67" t="s">
        <v>299</v>
      </c>
      <c r="J67">
        <v>331</v>
      </c>
      <c r="K67" t="s">
        <v>168</v>
      </c>
    </row>
    <row r="68" spans="1:11" x14ac:dyDescent="0.55000000000000004">
      <c r="A68" t="s">
        <v>300</v>
      </c>
      <c r="B68" t="s">
        <v>291</v>
      </c>
      <c r="C68" t="s">
        <v>292</v>
      </c>
      <c r="D68" t="s">
        <v>293</v>
      </c>
      <c r="E68" t="s">
        <v>294</v>
      </c>
      <c r="F68" t="s">
        <v>165</v>
      </c>
      <c r="G68" t="s">
        <v>166</v>
      </c>
      <c r="H68" t="s">
        <v>1</v>
      </c>
      <c r="I68" t="s">
        <v>301</v>
      </c>
      <c r="J68">
        <v>332</v>
      </c>
      <c r="K68" t="s">
        <v>168</v>
      </c>
    </row>
    <row r="69" spans="1:11" x14ac:dyDescent="0.55000000000000004">
      <c r="A69" t="s">
        <v>6</v>
      </c>
      <c r="B69" t="s">
        <v>6</v>
      </c>
      <c r="C69" t="s">
        <v>292</v>
      </c>
      <c r="D69" t="s">
        <v>293</v>
      </c>
      <c r="E69" t="s">
        <v>294</v>
      </c>
      <c r="F69" t="s">
        <v>165</v>
      </c>
      <c r="G69" t="s">
        <v>166</v>
      </c>
      <c r="H69" t="s">
        <v>1</v>
      </c>
      <c r="I69" t="s">
        <v>302</v>
      </c>
      <c r="J69">
        <v>301</v>
      </c>
      <c r="K69" t="s">
        <v>168</v>
      </c>
    </row>
    <row r="70" spans="1:11" x14ac:dyDescent="0.55000000000000004">
      <c r="A70" t="s">
        <v>303</v>
      </c>
      <c r="B70" t="s">
        <v>303</v>
      </c>
      <c r="C70" t="s">
        <v>304</v>
      </c>
      <c r="D70" t="s">
        <v>293</v>
      </c>
      <c r="E70" t="s">
        <v>294</v>
      </c>
      <c r="F70" t="s">
        <v>165</v>
      </c>
      <c r="G70" t="s">
        <v>166</v>
      </c>
      <c r="H70" t="s">
        <v>1</v>
      </c>
      <c r="I70" t="s">
        <v>305</v>
      </c>
      <c r="J70">
        <v>320</v>
      </c>
      <c r="K70" t="s">
        <v>168</v>
      </c>
    </row>
    <row r="71" spans="1:11" x14ac:dyDescent="0.55000000000000004">
      <c r="A71" t="s">
        <v>166</v>
      </c>
      <c r="B71" t="s">
        <v>166</v>
      </c>
      <c r="C71" t="s">
        <v>304</v>
      </c>
      <c r="D71" t="s">
        <v>293</v>
      </c>
      <c r="E71" t="s">
        <v>294</v>
      </c>
      <c r="F71" t="s">
        <v>165</v>
      </c>
      <c r="G71" t="s">
        <v>166</v>
      </c>
      <c r="H71" t="s">
        <v>1</v>
      </c>
      <c r="I71" t="s">
        <v>306</v>
      </c>
      <c r="J71">
        <v>322</v>
      </c>
      <c r="K71" t="s">
        <v>168</v>
      </c>
    </row>
    <row r="72" spans="1:11" x14ac:dyDescent="0.55000000000000004">
      <c r="A72" t="s">
        <v>174</v>
      </c>
      <c r="B72" t="s">
        <v>166</v>
      </c>
      <c r="C72" t="s">
        <v>304</v>
      </c>
      <c r="D72" t="s">
        <v>293</v>
      </c>
      <c r="E72" t="s">
        <v>294</v>
      </c>
      <c r="F72" t="s">
        <v>165</v>
      </c>
      <c r="G72" t="s">
        <v>166</v>
      </c>
      <c r="H72" t="s">
        <v>1</v>
      </c>
      <c r="I72" t="s">
        <v>307</v>
      </c>
      <c r="J72">
        <v>323</v>
      </c>
      <c r="K72" t="s">
        <v>168</v>
      </c>
    </row>
    <row r="73" spans="1:11" x14ac:dyDescent="0.55000000000000004">
      <c r="A73" t="s">
        <v>308</v>
      </c>
      <c r="B73" t="s">
        <v>166</v>
      </c>
      <c r="C73" t="s">
        <v>304</v>
      </c>
      <c r="D73" t="s">
        <v>293</v>
      </c>
      <c r="E73" t="s">
        <v>294</v>
      </c>
      <c r="F73" t="s">
        <v>165</v>
      </c>
      <c r="G73" t="s">
        <v>166</v>
      </c>
      <c r="H73" t="s">
        <v>1</v>
      </c>
      <c r="I73" t="s">
        <v>309</v>
      </c>
      <c r="J73">
        <v>338</v>
      </c>
      <c r="K73" t="s">
        <v>168</v>
      </c>
    </row>
    <row r="74" spans="1:11" x14ac:dyDescent="0.55000000000000004">
      <c r="A74" t="s">
        <v>310</v>
      </c>
      <c r="B74" t="s">
        <v>166</v>
      </c>
      <c r="C74" t="s">
        <v>304</v>
      </c>
      <c r="D74" t="s">
        <v>293</v>
      </c>
      <c r="E74" t="s">
        <v>294</v>
      </c>
      <c r="F74" t="s">
        <v>165</v>
      </c>
      <c r="G74" t="s">
        <v>166</v>
      </c>
      <c r="H74" t="s">
        <v>1</v>
      </c>
      <c r="K74" t="s">
        <v>168</v>
      </c>
    </row>
    <row r="75" spans="1:11" x14ac:dyDescent="0.55000000000000004">
      <c r="A75" t="s">
        <v>311</v>
      </c>
      <c r="B75" t="s">
        <v>311</v>
      </c>
      <c r="C75" t="s">
        <v>304</v>
      </c>
      <c r="D75" t="s">
        <v>293</v>
      </c>
      <c r="E75" t="s">
        <v>294</v>
      </c>
      <c r="F75" t="s">
        <v>165</v>
      </c>
      <c r="G75" t="s">
        <v>166</v>
      </c>
      <c r="H75" t="s">
        <v>1</v>
      </c>
      <c r="I75" t="s">
        <v>312</v>
      </c>
      <c r="J75">
        <v>324</v>
      </c>
      <c r="K75" t="s">
        <v>168</v>
      </c>
    </row>
    <row r="76" spans="1:11" x14ac:dyDescent="0.55000000000000004">
      <c r="A76" t="s">
        <v>313</v>
      </c>
      <c r="B76" t="s">
        <v>166</v>
      </c>
      <c r="C76" t="s">
        <v>304</v>
      </c>
      <c r="D76" t="s">
        <v>293</v>
      </c>
      <c r="E76" t="s">
        <v>294</v>
      </c>
      <c r="F76" t="s">
        <v>165</v>
      </c>
      <c r="G76" t="s">
        <v>166</v>
      </c>
      <c r="H76" t="s">
        <v>1</v>
      </c>
      <c r="K76" t="s">
        <v>168</v>
      </c>
    </row>
    <row r="77" spans="1:11" x14ac:dyDescent="0.55000000000000004">
      <c r="A77" t="s">
        <v>314</v>
      </c>
      <c r="B77" t="s">
        <v>311</v>
      </c>
      <c r="C77" t="s">
        <v>304</v>
      </c>
      <c r="D77" t="s">
        <v>293</v>
      </c>
      <c r="E77" t="s">
        <v>294</v>
      </c>
      <c r="F77" t="s">
        <v>165</v>
      </c>
      <c r="G77" t="s">
        <v>166</v>
      </c>
      <c r="H77" t="s">
        <v>1</v>
      </c>
      <c r="I77" t="s">
        <v>315</v>
      </c>
      <c r="J77">
        <v>327</v>
      </c>
      <c r="K77" t="s">
        <v>168</v>
      </c>
    </row>
    <row r="78" spans="1:11" x14ac:dyDescent="0.55000000000000004">
      <c r="A78" t="s">
        <v>316</v>
      </c>
      <c r="B78" t="s">
        <v>311</v>
      </c>
      <c r="C78" t="s">
        <v>304</v>
      </c>
      <c r="D78" t="s">
        <v>293</v>
      </c>
      <c r="E78" t="s">
        <v>294</v>
      </c>
      <c r="F78" t="s">
        <v>165</v>
      </c>
      <c r="G78" t="s">
        <v>166</v>
      </c>
      <c r="H78" t="s">
        <v>1</v>
      </c>
      <c r="I78" t="s">
        <v>317</v>
      </c>
      <c r="J78">
        <v>328</v>
      </c>
      <c r="K78" t="s">
        <v>168</v>
      </c>
    </row>
    <row r="79" spans="1:11" x14ac:dyDescent="0.55000000000000004">
      <c r="A79" t="s">
        <v>318</v>
      </c>
      <c r="B79" t="s">
        <v>311</v>
      </c>
      <c r="C79" t="s">
        <v>304</v>
      </c>
      <c r="D79" t="s">
        <v>293</v>
      </c>
      <c r="E79" t="s">
        <v>294</v>
      </c>
      <c r="F79" t="s">
        <v>165</v>
      </c>
      <c r="G79" t="s">
        <v>166</v>
      </c>
      <c r="H79" t="s">
        <v>1</v>
      </c>
      <c r="I79" t="s">
        <v>319</v>
      </c>
      <c r="J79">
        <v>330</v>
      </c>
      <c r="K79" t="s">
        <v>168</v>
      </c>
    </row>
    <row r="80" spans="1:11" x14ac:dyDescent="0.55000000000000004">
      <c r="A80" t="s">
        <v>320</v>
      </c>
      <c r="B80" t="s">
        <v>320</v>
      </c>
      <c r="C80" t="s">
        <v>304</v>
      </c>
      <c r="D80" t="s">
        <v>293</v>
      </c>
      <c r="E80" t="s">
        <v>294</v>
      </c>
      <c r="F80" t="s">
        <v>165</v>
      </c>
      <c r="G80" t="s">
        <v>166</v>
      </c>
      <c r="H80" t="s">
        <v>1</v>
      </c>
      <c r="I80" t="s">
        <v>321</v>
      </c>
      <c r="J80">
        <v>325</v>
      </c>
      <c r="K80" t="s">
        <v>168</v>
      </c>
    </row>
    <row r="81" spans="1:11" x14ac:dyDescent="0.55000000000000004">
      <c r="A81" t="s">
        <v>322</v>
      </c>
      <c r="B81" t="s">
        <v>322</v>
      </c>
      <c r="C81" t="s">
        <v>304</v>
      </c>
      <c r="D81" t="s">
        <v>293</v>
      </c>
      <c r="E81" t="s">
        <v>294</v>
      </c>
      <c r="F81" t="s">
        <v>165</v>
      </c>
      <c r="G81" t="s">
        <v>166</v>
      </c>
      <c r="H81" t="s">
        <v>1</v>
      </c>
      <c r="I81" t="s">
        <v>323</v>
      </c>
      <c r="J81">
        <v>1900</v>
      </c>
      <c r="K81" t="s">
        <v>168</v>
      </c>
    </row>
    <row r="82" spans="1:11" x14ac:dyDescent="0.55000000000000004">
      <c r="A82" t="s">
        <v>324</v>
      </c>
      <c r="B82" t="s">
        <v>324</v>
      </c>
      <c r="C82" t="s">
        <v>304</v>
      </c>
      <c r="D82" t="s">
        <v>293</v>
      </c>
      <c r="E82" t="s">
        <v>294</v>
      </c>
      <c r="F82" t="s">
        <v>165</v>
      </c>
      <c r="G82" t="s">
        <v>166</v>
      </c>
      <c r="H82" t="s">
        <v>1</v>
      </c>
      <c r="I82" t="s">
        <v>325</v>
      </c>
      <c r="J82">
        <v>333</v>
      </c>
      <c r="K82" t="s">
        <v>168</v>
      </c>
    </row>
    <row r="83" spans="1:11" x14ac:dyDescent="0.55000000000000004">
      <c r="A83" t="s">
        <v>326</v>
      </c>
      <c r="B83" t="s">
        <v>326</v>
      </c>
      <c r="C83" t="s">
        <v>304</v>
      </c>
      <c r="D83" t="s">
        <v>293</v>
      </c>
      <c r="E83" t="s">
        <v>294</v>
      </c>
      <c r="F83" t="s">
        <v>165</v>
      </c>
      <c r="G83" t="s">
        <v>166</v>
      </c>
      <c r="H83" t="s">
        <v>327</v>
      </c>
      <c r="I83" t="s">
        <v>328</v>
      </c>
      <c r="J83">
        <v>361</v>
      </c>
      <c r="K83" t="s">
        <v>168</v>
      </c>
    </row>
    <row r="84" spans="1:11" x14ac:dyDescent="0.55000000000000004">
      <c r="A84" t="s">
        <v>329</v>
      </c>
      <c r="B84" t="s">
        <v>329</v>
      </c>
      <c r="C84" t="s">
        <v>330</v>
      </c>
      <c r="E84" t="s">
        <v>294</v>
      </c>
      <c r="F84" t="s">
        <v>165</v>
      </c>
      <c r="G84" t="s">
        <v>166</v>
      </c>
      <c r="H84" t="s">
        <v>1</v>
      </c>
      <c r="I84" t="s">
        <v>280</v>
      </c>
      <c r="J84">
        <v>370</v>
      </c>
      <c r="K84" t="s">
        <v>168</v>
      </c>
    </row>
    <row r="85" spans="1:11" x14ac:dyDescent="0.55000000000000004">
      <c r="A85" t="s">
        <v>331</v>
      </c>
      <c r="B85" t="s">
        <v>331</v>
      </c>
      <c r="C85" t="s">
        <v>330</v>
      </c>
      <c r="E85" t="s">
        <v>294</v>
      </c>
      <c r="F85" t="s">
        <v>165</v>
      </c>
      <c r="G85" t="s">
        <v>166</v>
      </c>
      <c r="H85" t="s">
        <v>1</v>
      </c>
      <c r="I85" t="s">
        <v>332</v>
      </c>
      <c r="J85">
        <v>371</v>
      </c>
      <c r="K85" t="s">
        <v>168</v>
      </c>
    </row>
    <row r="86" spans="1:11" x14ac:dyDescent="0.55000000000000004">
      <c r="A86" t="s">
        <v>333</v>
      </c>
      <c r="B86" t="s">
        <v>333</v>
      </c>
      <c r="C86" t="s">
        <v>333</v>
      </c>
      <c r="E86" t="s">
        <v>294</v>
      </c>
      <c r="F86" t="s">
        <v>165</v>
      </c>
      <c r="G86" t="s">
        <v>166</v>
      </c>
      <c r="H86" t="s">
        <v>1</v>
      </c>
      <c r="I86" t="s">
        <v>206</v>
      </c>
      <c r="J86">
        <v>390</v>
      </c>
      <c r="K86" t="s">
        <v>168</v>
      </c>
    </row>
    <row r="87" spans="1:11" x14ac:dyDescent="0.55000000000000004">
      <c r="A87" t="s">
        <v>334</v>
      </c>
      <c r="B87" t="s">
        <v>333</v>
      </c>
      <c r="C87" t="s">
        <v>333</v>
      </c>
      <c r="E87" t="s">
        <v>294</v>
      </c>
      <c r="F87" t="s">
        <v>165</v>
      </c>
      <c r="G87" t="s">
        <v>166</v>
      </c>
      <c r="H87" t="s">
        <v>1</v>
      </c>
      <c r="I87" t="s">
        <v>335</v>
      </c>
      <c r="J87">
        <v>391</v>
      </c>
      <c r="K87" t="s">
        <v>168</v>
      </c>
    </row>
    <row r="88" spans="1:11" x14ac:dyDescent="0.55000000000000004">
      <c r="A88" t="s">
        <v>336</v>
      </c>
      <c r="B88" t="s">
        <v>333</v>
      </c>
      <c r="C88" t="s">
        <v>333</v>
      </c>
      <c r="E88" t="s">
        <v>294</v>
      </c>
      <c r="F88" t="s">
        <v>165</v>
      </c>
      <c r="G88" t="s">
        <v>166</v>
      </c>
      <c r="H88" t="s">
        <v>1</v>
      </c>
      <c r="I88" t="s">
        <v>337</v>
      </c>
      <c r="J88">
        <v>392</v>
      </c>
      <c r="K88" t="s">
        <v>168</v>
      </c>
    </row>
    <row r="89" spans="1:11" x14ac:dyDescent="0.55000000000000004">
      <c r="A89" t="s">
        <v>338</v>
      </c>
      <c r="B89" t="s">
        <v>333</v>
      </c>
      <c r="C89" t="s">
        <v>333</v>
      </c>
      <c r="E89" t="s">
        <v>294</v>
      </c>
      <c r="F89" t="s">
        <v>165</v>
      </c>
      <c r="G89" t="s">
        <v>166</v>
      </c>
      <c r="H89" t="s">
        <v>1</v>
      </c>
      <c r="I89" t="s">
        <v>339</v>
      </c>
      <c r="J89">
        <v>800</v>
      </c>
      <c r="K89" t="s">
        <v>211</v>
      </c>
    </row>
    <row r="90" spans="1:11" x14ac:dyDescent="0.55000000000000004">
      <c r="A90" t="s">
        <v>340</v>
      </c>
      <c r="B90" t="s">
        <v>333</v>
      </c>
      <c r="C90" t="s">
        <v>333</v>
      </c>
      <c r="E90" t="s">
        <v>294</v>
      </c>
      <c r="F90" t="s">
        <v>165</v>
      </c>
      <c r="G90" t="s">
        <v>166</v>
      </c>
      <c r="H90" t="s">
        <v>1</v>
      </c>
      <c r="I90" t="s">
        <v>341</v>
      </c>
      <c r="J90">
        <v>801</v>
      </c>
      <c r="K90" t="s">
        <v>211</v>
      </c>
    </row>
    <row r="91" spans="1:11" x14ac:dyDescent="0.55000000000000004">
      <c r="A91" t="s">
        <v>342</v>
      </c>
      <c r="B91" t="s">
        <v>333</v>
      </c>
      <c r="C91" t="s">
        <v>333</v>
      </c>
      <c r="E91" t="s">
        <v>294</v>
      </c>
      <c r="F91" t="s">
        <v>165</v>
      </c>
      <c r="G91" t="s">
        <v>166</v>
      </c>
      <c r="H91" t="s">
        <v>1</v>
      </c>
      <c r="I91" t="s">
        <v>343</v>
      </c>
      <c r="J91">
        <v>802</v>
      </c>
      <c r="K91" t="s">
        <v>211</v>
      </c>
    </row>
    <row r="92" spans="1:11" x14ac:dyDescent="0.55000000000000004">
      <c r="A92" t="s">
        <v>344</v>
      </c>
      <c r="B92" t="s">
        <v>333</v>
      </c>
      <c r="C92" t="s">
        <v>333</v>
      </c>
      <c r="E92" t="s">
        <v>294</v>
      </c>
      <c r="F92" t="s">
        <v>165</v>
      </c>
      <c r="G92" t="s">
        <v>166</v>
      </c>
      <c r="H92" t="s">
        <v>1</v>
      </c>
      <c r="I92" t="s">
        <v>345</v>
      </c>
      <c r="J92">
        <v>803</v>
      </c>
      <c r="K92" t="s">
        <v>211</v>
      </c>
    </row>
    <row r="93" spans="1:11" x14ac:dyDescent="0.55000000000000004">
      <c r="A93" t="s">
        <v>346</v>
      </c>
      <c r="B93" t="s">
        <v>333</v>
      </c>
      <c r="C93" t="s">
        <v>333</v>
      </c>
      <c r="E93" t="s">
        <v>294</v>
      </c>
      <c r="F93" t="s">
        <v>165</v>
      </c>
      <c r="G93" t="s">
        <v>166</v>
      </c>
      <c r="H93" t="s">
        <v>1</v>
      </c>
      <c r="I93" t="s">
        <v>347</v>
      </c>
      <c r="J93">
        <v>804</v>
      </c>
      <c r="K93" t="s">
        <v>211</v>
      </c>
    </row>
    <row r="94" spans="1:11" x14ac:dyDescent="0.55000000000000004">
      <c r="A94" t="s">
        <v>348</v>
      </c>
      <c r="B94" t="s">
        <v>333</v>
      </c>
      <c r="C94" t="s">
        <v>333</v>
      </c>
      <c r="E94" t="s">
        <v>294</v>
      </c>
      <c r="F94" t="s">
        <v>165</v>
      </c>
      <c r="G94" t="s">
        <v>166</v>
      </c>
      <c r="H94" t="s">
        <v>1</v>
      </c>
      <c r="I94" t="s">
        <v>349</v>
      </c>
      <c r="J94">
        <v>805</v>
      </c>
      <c r="K94" t="s">
        <v>211</v>
      </c>
    </row>
    <row r="95" spans="1:11" x14ac:dyDescent="0.55000000000000004">
      <c r="A95" t="s">
        <v>350</v>
      </c>
      <c r="B95" t="s">
        <v>333</v>
      </c>
      <c r="C95" t="s">
        <v>333</v>
      </c>
      <c r="E95" t="s">
        <v>294</v>
      </c>
      <c r="F95" t="s">
        <v>165</v>
      </c>
      <c r="G95" t="s">
        <v>166</v>
      </c>
      <c r="H95" t="s">
        <v>1</v>
      </c>
      <c r="I95" t="s">
        <v>351</v>
      </c>
      <c r="J95">
        <v>806</v>
      </c>
      <c r="K95" t="s">
        <v>211</v>
      </c>
    </row>
    <row r="96" spans="1:11" x14ac:dyDescent="0.55000000000000004">
      <c r="A96" t="s">
        <v>352</v>
      </c>
      <c r="B96" t="s">
        <v>333</v>
      </c>
      <c r="C96" t="s">
        <v>333</v>
      </c>
      <c r="E96" t="s">
        <v>294</v>
      </c>
      <c r="F96" t="s">
        <v>165</v>
      </c>
      <c r="G96" t="s">
        <v>166</v>
      </c>
      <c r="H96" t="s">
        <v>1</v>
      </c>
      <c r="I96" t="s">
        <v>353</v>
      </c>
      <c r="J96">
        <v>807</v>
      </c>
      <c r="K96" t="s">
        <v>211</v>
      </c>
    </row>
    <row r="97" spans="1:11" x14ac:dyDescent="0.55000000000000004">
      <c r="A97" t="s">
        <v>354</v>
      </c>
      <c r="B97" t="s">
        <v>333</v>
      </c>
      <c r="C97" t="s">
        <v>333</v>
      </c>
      <c r="E97" t="s">
        <v>294</v>
      </c>
      <c r="F97" t="s">
        <v>165</v>
      </c>
      <c r="G97" t="s">
        <v>166</v>
      </c>
      <c r="H97" t="s">
        <v>1</v>
      </c>
      <c r="I97" t="s">
        <v>355</v>
      </c>
      <c r="J97">
        <v>851</v>
      </c>
      <c r="K97" t="s">
        <v>211</v>
      </c>
    </row>
    <row r="98" spans="1:11" x14ac:dyDescent="0.55000000000000004">
      <c r="A98" t="s">
        <v>356</v>
      </c>
      <c r="B98" t="s">
        <v>356</v>
      </c>
      <c r="C98" t="s">
        <v>356</v>
      </c>
      <c r="E98" t="s">
        <v>357</v>
      </c>
      <c r="F98" t="s">
        <v>165</v>
      </c>
      <c r="G98" t="s">
        <v>166</v>
      </c>
      <c r="H98" t="s">
        <v>1</v>
      </c>
      <c r="I98" t="s">
        <v>358</v>
      </c>
      <c r="J98">
        <v>400</v>
      </c>
      <c r="K98" t="s">
        <v>168</v>
      </c>
    </row>
    <row r="99" spans="1:11" x14ac:dyDescent="0.55000000000000004">
      <c r="A99" t="s">
        <v>359</v>
      </c>
      <c r="B99" t="s">
        <v>360</v>
      </c>
      <c r="C99" t="s">
        <v>361</v>
      </c>
      <c r="E99" t="s">
        <v>361</v>
      </c>
      <c r="F99" t="s">
        <v>165</v>
      </c>
      <c r="G99" t="s">
        <v>166</v>
      </c>
      <c r="H99" t="s">
        <v>1</v>
      </c>
      <c r="K99" t="s">
        <v>168</v>
      </c>
    </row>
    <row r="100" spans="1:11" x14ac:dyDescent="0.55000000000000004">
      <c r="A100" t="s">
        <v>2</v>
      </c>
      <c r="B100" t="s">
        <v>2</v>
      </c>
      <c r="C100" t="s">
        <v>362</v>
      </c>
      <c r="E100" t="s">
        <v>359</v>
      </c>
      <c r="F100" t="s">
        <v>8</v>
      </c>
      <c r="G100" t="s">
        <v>174</v>
      </c>
      <c r="H100" t="s">
        <v>327</v>
      </c>
      <c r="I100" t="s">
        <v>363</v>
      </c>
      <c r="J100">
        <v>500</v>
      </c>
      <c r="K100" t="s">
        <v>168</v>
      </c>
    </row>
    <row r="101" spans="1:11" x14ac:dyDescent="0.55000000000000004">
      <c r="A101" t="s">
        <v>139</v>
      </c>
      <c r="B101" t="s">
        <v>2</v>
      </c>
      <c r="C101" t="s">
        <v>362</v>
      </c>
      <c r="E101" t="s">
        <v>359</v>
      </c>
      <c r="F101" t="s">
        <v>8</v>
      </c>
      <c r="G101" t="s">
        <v>174</v>
      </c>
      <c r="H101" t="s">
        <v>364</v>
      </c>
      <c r="I101" t="s">
        <v>365</v>
      </c>
      <c r="J101">
        <v>510</v>
      </c>
      <c r="K101" t="s">
        <v>168</v>
      </c>
    </row>
    <row r="102" spans="1:11" x14ac:dyDescent="0.55000000000000004">
      <c r="A102" t="s">
        <v>138</v>
      </c>
      <c r="B102" t="s">
        <v>2</v>
      </c>
      <c r="C102" t="s">
        <v>362</v>
      </c>
      <c r="E102" t="s">
        <v>359</v>
      </c>
      <c r="F102" t="s">
        <v>8</v>
      </c>
      <c r="G102" t="s">
        <v>174</v>
      </c>
      <c r="H102" t="s">
        <v>364</v>
      </c>
      <c r="I102" t="s">
        <v>366</v>
      </c>
      <c r="J102">
        <v>520</v>
      </c>
      <c r="K102" t="s">
        <v>168</v>
      </c>
    </row>
    <row r="103" spans="1:11" x14ac:dyDescent="0.55000000000000004">
      <c r="A103" t="s">
        <v>367</v>
      </c>
      <c r="B103" t="s">
        <v>2</v>
      </c>
      <c r="C103" t="s">
        <v>362</v>
      </c>
      <c r="E103" t="s">
        <v>359</v>
      </c>
      <c r="F103" t="s">
        <v>8</v>
      </c>
      <c r="G103" t="s">
        <v>174</v>
      </c>
      <c r="H103" t="s">
        <v>327</v>
      </c>
      <c r="I103" t="s">
        <v>368</v>
      </c>
      <c r="J103">
        <v>583</v>
      </c>
      <c r="K103" t="s">
        <v>168</v>
      </c>
    </row>
    <row r="104" spans="1:11" x14ac:dyDescent="0.55000000000000004">
      <c r="A104" t="s">
        <v>369</v>
      </c>
      <c r="B104" t="s">
        <v>3</v>
      </c>
      <c r="C104" t="s">
        <v>362</v>
      </c>
      <c r="E104" t="s">
        <v>359</v>
      </c>
      <c r="F104" t="s">
        <v>165</v>
      </c>
      <c r="G104" t="s">
        <v>174</v>
      </c>
      <c r="H104" t="s">
        <v>327</v>
      </c>
      <c r="I104" t="s">
        <v>370</v>
      </c>
      <c r="J104">
        <v>580</v>
      </c>
      <c r="K104" t="s">
        <v>168</v>
      </c>
    </row>
    <row r="105" spans="1:11" x14ac:dyDescent="0.55000000000000004">
      <c r="A105" t="s">
        <v>3</v>
      </c>
      <c r="B105" t="s">
        <v>3</v>
      </c>
      <c r="C105" t="s">
        <v>362</v>
      </c>
      <c r="E105" t="s">
        <v>359</v>
      </c>
      <c r="F105" t="s">
        <v>165</v>
      </c>
      <c r="G105" t="s">
        <v>174</v>
      </c>
      <c r="H105" t="s">
        <v>327</v>
      </c>
      <c r="I105" t="s">
        <v>371</v>
      </c>
      <c r="J105">
        <v>590</v>
      </c>
      <c r="K105" t="s">
        <v>168</v>
      </c>
    </row>
    <row r="106" spans="1:11" x14ac:dyDescent="0.55000000000000004">
      <c r="A106" t="s">
        <v>372</v>
      </c>
      <c r="B106" t="s">
        <v>3</v>
      </c>
      <c r="C106" t="s">
        <v>362</v>
      </c>
      <c r="E106" t="s">
        <v>359</v>
      </c>
      <c r="F106" t="s">
        <v>227</v>
      </c>
      <c r="G106" t="s">
        <v>174</v>
      </c>
      <c r="H106" t="s">
        <v>327</v>
      </c>
      <c r="K106" t="s">
        <v>168</v>
      </c>
    </row>
    <row r="107" spans="1:11" x14ac:dyDescent="0.55000000000000004">
      <c r="A107" t="s">
        <v>373</v>
      </c>
      <c r="B107" t="s">
        <v>373</v>
      </c>
      <c r="C107" t="s">
        <v>362</v>
      </c>
      <c r="E107" t="s">
        <v>359</v>
      </c>
      <c r="F107" t="s">
        <v>165</v>
      </c>
      <c r="G107" t="s">
        <v>174</v>
      </c>
      <c r="H107" t="s">
        <v>374</v>
      </c>
      <c r="I107" t="s">
        <v>375</v>
      </c>
      <c r="J107">
        <v>581</v>
      </c>
      <c r="K107" t="s">
        <v>168</v>
      </c>
    </row>
    <row r="108" spans="1:11" x14ac:dyDescent="0.55000000000000004">
      <c r="A108" t="s">
        <v>376</v>
      </c>
      <c r="B108" t="s">
        <v>376</v>
      </c>
      <c r="C108" t="s">
        <v>362</v>
      </c>
      <c r="E108" t="s">
        <v>359</v>
      </c>
      <c r="F108" t="s">
        <v>8</v>
      </c>
      <c r="G108" t="s">
        <v>174</v>
      </c>
      <c r="H108" t="s">
        <v>1</v>
      </c>
      <c r="I108" t="s">
        <v>377</v>
      </c>
      <c r="J108">
        <v>131</v>
      </c>
      <c r="K108" t="s">
        <v>168</v>
      </c>
    </row>
    <row r="109" spans="1:11" x14ac:dyDescent="0.55000000000000004">
      <c r="A109" t="s">
        <v>378</v>
      </c>
      <c r="B109" t="s">
        <v>378</v>
      </c>
      <c r="C109" t="s">
        <v>379</v>
      </c>
      <c r="E109" t="s">
        <v>359</v>
      </c>
      <c r="F109" t="s">
        <v>8</v>
      </c>
      <c r="G109" t="s">
        <v>6</v>
      </c>
      <c r="H109" t="s">
        <v>1</v>
      </c>
      <c r="I109" t="s">
        <v>380</v>
      </c>
      <c r="J109">
        <v>600</v>
      </c>
      <c r="K109" t="s">
        <v>168</v>
      </c>
    </row>
    <row r="110" spans="1:11" x14ac:dyDescent="0.55000000000000004">
      <c r="A110" t="s">
        <v>4</v>
      </c>
      <c r="B110" t="s">
        <v>4</v>
      </c>
      <c r="C110" t="s">
        <v>379</v>
      </c>
      <c r="E110" t="s">
        <v>359</v>
      </c>
      <c r="F110" t="s">
        <v>227</v>
      </c>
      <c r="G110" t="s">
        <v>6</v>
      </c>
      <c r="H110" t="s">
        <v>187</v>
      </c>
      <c r="I110" t="s">
        <v>381</v>
      </c>
      <c r="J110">
        <v>610</v>
      </c>
      <c r="K110" t="s">
        <v>168</v>
      </c>
    </row>
    <row r="111" spans="1:11" x14ac:dyDescent="0.55000000000000004">
      <c r="A111" t="s">
        <v>382</v>
      </c>
      <c r="B111" t="s">
        <v>4</v>
      </c>
      <c r="C111" t="s">
        <v>379</v>
      </c>
      <c r="E111" t="s">
        <v>359</v>
      </c>
      <c r="F111" t="s">
        <v>227</v>
      </c>
      <c r="G111" t="s">
        <v>6</v>
      </c>
      <c r="H111" t="s">
        <v>374</v>
      </c>
      <c r="I111" t="s">
        <v>383</v>
      </c>
      <c r="J111">
        <v>620</v>
      </c>
      <c r="K111" t="s">
        <v>168</v>
      </c>
    </row>
    <row r="112" spans="1:11" x14ac:dyDescent="0.55000000000000004">
      <c r="A112" t="s">
        <v>384</v>
      </c>
      <c r="B112" t="s">
        <v>4</v>
      </c>
      <c r="C112" t="s">
        <v>379</v>
      </c>
      <c r="E112" t="s">
        <v>359</v>
      </c>
      <c r="F112" t="s">
        <v>227</v>
      </c>
      <c r="G112" t="s">
        <v>6</v>
      </c>
      <c r="H112" t="s">
        <v>374</v>
      </c>
      <c r="I112" t="s">
        <v>385</v>
      </c>
      <c r="J112">
        <v>630</v>
      </c>
      <c r="K112" t="s">
        <v>168</v>
      </c>
    </row>
    <row r="113" spans="1:11" x14ac:dyDescent="0.55000000000000004">
      <c r="A113" t="s">
        <v>99</v>
      </c>
      <c r="B113" t="s">
        <v>4</v>
      </c>
      <c r="C113" t="s">
        <v>379</v>
      </c>
      <c r="E113" t="s">
        <v>359</v>
      </c>
      <c r="F113" t="s">
        <v>227</v>
      </c>
      <c r="G113" t="s">
        <v>6</v>
      </c>
      <c r="H113" t="s">
        <v>374</v>
      </c>
      <c r="I113" t="s">
        <v>375</v>
      </c>
      <c r="J113">
        <v>640</v>
      </c>
      <c r="K113" t="s">
        <v>168</v>
      </c>
    </row>
    <row r="114" spans="1:11" x14ac:dyDescent="0.55000000000000004">
      <c r="A114" t="s">
        <v>386</v>
      </c>
      <c r="B114" t="s">
        <v>386</v>
      </c>
      <c r="C114" t="s">
        <v>379</v>
      </c>
      <c r="E114" t="s">
        <v>359</v>
      </c>
      <c r="F114" t="s">
        <v>227</v>
      </c>
      <c r="G114" t="s">
        <v>6</v>
      </c>
      <c r="H114" t="s">
        <v>1</v>
      </c>
      <c r="I114" t="s">
        <v>387</v>
      </c>
      <c r="J114">
        <v>650</v>
      </c>
      <c r="K114" t="s">
        <v>168</v>
      </c>
    </row>
    <row r="115" spans="1:11" x14ac:dyDescent="0.55000000000000004">
      <c r="A115" t="s">
        <v>388</v>
      </c>
      <c r="B115" t="s">
        <v>388</v>
      </c>
      <c r="C115" t="s">
        <v>379</v>
      </c>
      <c r="E115" t="s">
        <v>359</v>
      </c>
      <c r="F115" t="s">
        <v>227</v>
      </c>
      <c r="G115" t="s">
        <v>6</v>
      </c>
      <c r="H115" t="s">
        <v>1</v>
      </c>
      <c r="I115" t="s">
        <v>377</v>
      </c>
      <c r="J115">
        <v>302</v>
      </c>
      <c r="K115" t="s">
        <v>168</v>
      </c>
    </row>
    <row r="116" spans="1:11" x14ac:dyDescent="0.55000000000000004">
      <c r="A116" t="s">
        <v>389</v>
      </c>
      <c r="B116" t="s">
        <v>389</v>
      </c>
      <c r="C116" t="s">
        <v>390</v>
      </c>
      <c r="E116" t="s">
        <v>359</v>
      </c>
      <c r="F116" t="s">
        <v>227</v>
      </c>
      <c r="G116" t="s">
        <v>6</v>
      </c>
      <c r="H116" t="s">
        <v>1</v>
      </c>
      <c r="I116" t="s">
        <v>391</v>
      </c>
      <c r="J116">
        <v>721</v>
      </c>
      <c r="K116" t="s">
        <v>168</v>
      </c>
    </row>
    <row r="117" spans="1:11" x14ac:dyDescent="0.55000000000000004">
      <c r="A117" t="s">
        <v>392</v>
      </c>
      <c r="B117" t="s">
        <v>392</v>
      </c>
      <c r="C117" t="s">
        <v>390</v>
      </c>
      <c r="E117" t="s">
        <v>359</v>
      </c>
      <c r="F117" t="s">
        <v>227</v>
      </c>
      <c r="G117" t="s">
        <v>6</v>
      </c>
      <c r="H117" t="s">
        <v>1</v>
      </c>
      <c r="I117" t="s">
        <v>387</v>
      </c>
      <c r="J117">
        <v>738</v>
      </c>
      <c r="K117" t="s">
        <v>168</v>
      </c>
    </row>
    <row r="118" spans="1:11" x14ac:dyDescent="0.55000000000000004">
      <c r="A118" t="s">
        <v>393</v>
      </c>
      <c r="B118" t="s">
        <v>394</v>
      </c>
      <c r="C118" t="s">
        <v>395</v>
      </c>
      <c r="E118" t="s">
        <v>359</v>
      </c>
      <c r="F118" t="s">
        <v>165</v>
      </c>
      <c r="G118" t="s">
        <v>166</v>
      </c>
      <c r="H118" t="s">
        <v>187</v>
      </c>
      <c r="I118" t="s">
        <v>396</v>
      </c>
      <c r="J118">
        <v>736</v>
      </c>
      <c r="K118" t="s">
        <v>168</v>
      </c>
    </row>
    <row r="119" spans="1:11" x14ac:dyDescent="0.55000000000000004">
      <c r="A119" t="s">
        <v>397</v>
      </c>
      <c r="B119" t="s">
        <v>397</v>
      </c>
      <c r="C119" t="s">
        <v>395</v>
      </c>
      <c r="E119" t="s">
        <v>359</v>
      </c>
      <c r="F119" t="s">
        <v>227</v>
      </c>
      <c r="G119" t="s">
        <v>166</v>
      </c>
      <c r="H119" t="s">
        <v>1</v>
      </c>
      <c r="I119" t="s">
        <v>398</v>
      </c>
      <c r="J119">
        <v>700</v>
      </c>
      <c r="K119" t="s">
        <v>168</v>
      </c>
    </row>
    <row r="120" spans="1:11" x14ac:dyDescent="0.55000000000000004">
      <c r="A120" t="s">
        <v>141</v>
      </c>
      <c r="B120" t="s">
        <v>141</v>
      </c>
      <c r="C120" t="s">
        <v>395</v>
      </c>
      <c r="E120" t="s">
        <v>359</v>
      </c>
      <c r="F120" t="s">
        <v>227</v>
      </c>
      <c r="G120" t="s">
        <v>166</v>
      </c>
      <c r="H120" t="s">
        <v>187</v>
      </c>
      <c r="I120" t="s">
        <v>399</v>
      </c>
      <c r="J120">
        <v>701</v>
      </c>
      <c r="K120" t="s">
        <v>168</v>
      </c>
    </row>
    <row r="121" spans="1:11" x14ac:dyDescent="0.55000000000000004">
      <c r="A121" t="s">
        <v>400</v>
      </c>
      <c r="B121" t="s">
        <v>141</v>
      </c>
      <c r="C121" t="s">
        <v>395</v>
      </c>
      <c r="E121" t="s">
        <v>359</v>
      </c>
      <c r="F121" t="s">
        <v>227</v>
      </c>
      <c r="G121" t="s">
        <v>166</v>
      </c>
      <c r="H121" t="s">
        <v>187</v>
      </c>
      <c r="I121" t="s">
        <v>401</v>
      </c>
      <c r="J121">
        <v>702</v>
      </c>
      <c r="K121" t="s">
        <v>168</v>
      </c>
    </row>
    <row r="122" spans="1:11" x14ac:dyDescent="0.55000000000000004">
      <c r="A122" t="s">
        <v>402</v>
      </c>
      <c r="B122" t="s">
        <v>402</v>
      </c>
      <c r="C122" t="s">
        <v>395</v>
      </c>
      <c r="E122" t="s">
        <v>359</v>
      </c>
      <c r="F122" t="s">
        <v>227</v>
      </c>
      <c r="G122" t="s">
        <v>166</v>
      </c>
      <c r="H122" t="s">
        <v>187</v>
      </c>
      <c r="I122" t="s">
        <v>403</v>
      </c>
      <c r="J122">
        <v>703</v>
      </c>
      <c r="K122" t="s">
        <v>168</v>
      </c>
    </row>
    <row r="123" spans="1:11" x14ac:dyDescent="0.55000000000000004">
      <c r="A123" t="s">
        <v>404</v>
      </c>
      <c r="B123" t="s">
        <v>402</v>
      </c>
      <c r="C123" t="s">
        <v>395</v>
      </c>
      <c r="E123" t="s">
        <v>359</v>
      </c>
      <c r="F123" t="s">
        <v>227</v>
      </c>
      <c r="G123" t="s">
        <v>166</v>
      </c>
      <c r="H123" t="s">
        <v>187</v>
      </c>
      <c r="I123" t="s">
        <v>405</v>
      </c>
      <c r="J123">
        <v>727</v>
      </c>
      <c r="K123" t="s">
        <v>168</v>
      </c>
    </row>
    <row r="124" spans="1:11" x14ac:dyDescent="0.55000000000000004">
      <c r="A124" t="s">
        <v>406</v>
      </c>
      <c r="B124" t="s">
        <v>406</v>
      </c>
      <c r="C124" t="s">
        <v>395</v>
      </c>
      <c r="E124" t="s">
        <v>359</v>
      </c>
      <c r="F124" t="s">
        <v>227</v>
      </c>
      <c r="G124" t="s">
        <v>166</v>
      </c>
      <c r="H124" t="s">
        <v>187</v>
      </c>
      <c r="I124" t="s">
        <v>407</v>
      </c>
      <c r="J124">
        <v>704</v>
      </c>
      <c r="K124" t="s">
        <v>168</v>
      </c>
    </row>
    <row r="125" spans="1:11" x14ac:dyDescent="0.55000000000000004">
      <c r="A125" t="s">
        <v>408</v>
      </c>
      <c r="B125" t="s">
        <v>408</v>
      </c>
      <c r="C125" t="s">
        <v>395</v>
      </c>
      <c r="E125" t="s">
        <v>359</v>
      </c>
      <c r="F125" t="s">
        <v>227</v>
      </c>
      <c r="G125" t="s">
        <v>166</v>
      </c>
      <c r="H125" t="s">
        <v>187</v>
      </c>
      <c r="I125" t="s">
        <v>409</v>
      </c>
      <c r="J125">
        <v>705</v>
      </c>
      <c r="K125" t="s">
        <v>168</v>
      </c>
    </row>
    <row r="126" spans="1:11" x14ac:dyDescent="0.55000000000000004">
      <c r="A126" t="s">
        <v>142</v>
      </c>
      <c r="B126" t="s">
        <v>142</v>
      </c>
      <c r="C126" t="s">
        <v>395</v>
      </c>
      <c r="E126" t="s">
        <v>359</v>
      </c>
      <c r="F126" t="s">
        <v>227</v>
      </c>
      <c r="G126" t="s">
        <v>166</v>
      </c>
      <c r="H126" t="s">
        <v>187</v>
      </c>
      <c r="I126" t="s">
        <v>410</v>
      </c>
      <c r="J126">
        <v>706</v>
      </c>
      <c r="K126" t="s">
        <v>168</v>
      </c>
    </row>
    <row r="127" spans="1:11" x14ac:dyDescent="0.55000000000000004">
      <c r="A127" t="s">
        <v>140</v>
      </c>
      <c r="B127" t="s">
        <v>145</v>
      </c>
      <c r="C127" t="s">
        <v>395</v>
      </c>
      <c r="E127" t="s">
        <v>359</v>
      </c>
      <c r="F127" t="s">
        <v>8</v>
      </c>
      <c r="G127" t="s">
        <v>166</v>
      </c>
      <c r="H127" t="s">
        <v>187</v>
      </c>
      <c r="I127" t="s">
        <v>411</v>
      </c>
      <c r="J127">
        <v>733</v>
      </c>
      <c r="K127" t="s">
        <v>168</v>
      </c>
    </row>
    <row r="128" spans="1:11" x14ac:dyDescent="0.55000000000000004">
      <c r="A128" t="s">
        <v>412</v>
      </c>
      <c r="B128" t="s">
        <v>142</v>
      </c>
      <c r="C128" t="s">
        <v>395</v>
      </c>
      <c r="E128" t="s">
        <v>359</v>
      </c>
      <c r="F128" t="s">
        <v>227</v>
      </c>
      <c r="G128" t="s">
        <v>166</v>
      </c>
      <c r="H128" t="s">
        <v>187</v>
      </c>
      <c r="I128" t="s">
        <v>413</v>
      </c>
      <c r="J128">
        <v>734</v>
      </c>
      <c r="K128" t="s">
        <v>168</v>
      </c>
    </row>
    <row r="129" spans="1:11" x14ac:dyDescent="0.55000000000000004">
      <c r="A129" t="s">
        <v>414</v>
      </c>
      <c r="B129" t="s">
        <v>414</v>
      </c>
      <c r="C129" t="s">
        <v>395</v>
      </c>
      <c r="E129" t="s">
        <v>359</v>
      </c>
      <c r="F129" t="s">
        <v>227</v>
      </c>
      <c r="G129" t="s">
        <v>166</v>
      </c>
      <c r="H129" t="s">
        <v>187</v>
      </c>
      <c r="I129" t="s">
        <v>415</v>
      </c>
      <c r="J129">
        <v>707</v>
      </c>
      <c r="K129" t="s">
        <v>168</v>
      </c>
    </row>
    <row r="130" spans="1:11" x14ac:dyDescent="0.55000000000000004">
      <c r="A130" t="s">
        <v>416</v>
      </c>
      <c r="B130" t="s">
        <v>416</v>
      </c>
      <c r="C130" t="s">
        <v>395</v>
      </c>
      <c r="E130" t="s">
        <v>359</v>
      </c>
      <c r="F130" t="s">
        <v>227</v>
      </c>
      <c r="G130" t="s">
        <v>166</v>
      </c>
      <c r="H130" t="s">
        <v>1</v>
      </c>
      <c r="I130" t="s">
        <v>417</v>
      </c>
      <c r="J130">
        <v>708</v>
      </c>
      <c r="K130" t="s">
        <v>168</v>
      </c>
    </row>
    <row r="131" spans="1:11" x14ac:dyDescent="0.55000000000000004">
      <c r="A131" t="s">
        <v>5</v>
      </c>
      <c r="B131" t="s">
        <v>5</v>
      </c>
      <c r="C131" t="s">
        <v>395</v>
      </c>
      <c r="E131" t="s">
        <v>359</v>
      </c>
      <c r="F131" t="s">
        <v>227</v>
      </c>
      <c r="G131" t="s">
        <v>166</v>
      </c>
      <c r="H131" t="s">
        <v>187</v>
      </c>
      <c r="I131" t="s">
        <v>418</v>
      </c>
      <c r="J131">
        <v>709</v>
      </c>
      <c r="K131" t="s">
        <v>168</v>
      </c>
    </row>
    <row r="132" spans="1:11" x14ac:dyDescent="0.55000000000000004">
      <c r="A132" t="s">
        <v>419</v>
      </c>
      <c r="B132" t="s">
        <v>419</v>
      </c>
      <c r="C132" t="s">
        <v>395</v>
      </c>
      <c r="E132" t="s">
        <v>359</v>
      </c>
      <c r="F132" t="s">
        <v>227</v>
      </c>
      <c r="G132" t="s">
        <v>166</v>
      </c>
      <c r="H132" t="s">
        <v>187</v>
      </c>
      <c r="I132" t="s">
        <v>420</v>
      </c>
      <c r="J132">
        <v>710</v>
      </c>
      <c r="K132" t="s">
        <v>168</v>
      </c>
    </row>
    <row r="133" spans="1:11" x14ac:dyDescent="0.55000000000000004">
      <c r="A133" t="s">
        <v>421</v>
      </c>
      <c r="B133" t="s">
        <v>419</v>
      </c>
      <c r="C133" t="s">
        <v>395</v>
      </c>
      <c r="E133" t="s">
        <v>359</v>
      </c>
      <c r="F133" t="s">
        <v>227</v>
      </c>
      <c r="G133" t="s">
        <v>166</v>
      </c>
      <c r="H133" t="s">
        <v>187</v>
      </c>
      <c r="I133" t="s">
        <v>422</v>
      </c>
      <c r="J133">
        <v>711</v>
      </c>
      <c r="K133" t="s">
        <v>168</v>
      </c>
    </row>
    <row r="134" spans="1:11" x14ac:dyDescent="0.55000000000000004">
      <c r="A134" t="s">
        <v>7</v>
      </c>
      <c r="B134" t="s">
        <v>7</v>
      </c>
      <c r="C134" t="s">
        <v>395</v>
      </c>
      <c r="E134" t="s">
        <v>359</v>
      </c>
      <c r="F134" t="s">
        <v>227</v>
      </c>
      <c r="G134" t="s">
        <v>166</v>
      </c>
      <c r="H134" t="s">
        <v>1</v>
      </c>
      <c r="I134" t="s">
        <v>423</v>
      </c>
      <c r="J134">
        <v>712</v>
      </c>
      <c r="K134" t="s">
        <v>168</v>
      </c>
    </row>
    <row r="135" spans="1:11" x14ac:dyDescent="0.55000000000000004">
      <c r="A135" t="s">
        <v>424</v>
      </c>
      <c r="B135" t="s">
        <v>7</v>
      </c>
      <c r="C135" t="s">
        <v>395</v>
      </c>
      <c r="E135" t="s">
        <v>359</v>
      </c>
      <c r="F135" t="s">
        <v>227</v>
      </c>
      <c r="G135" t="s">
        <v>166</v>
      </c>
      <c r="H135" t="s">
        <v>1</v>
      </c>
      <c r="I135" t="s">
        <v>284</v>
      </c>
      <c r="J135">
        <v>741</v>
      </c>
      <c r="K135" t="s">
        <v>168</v>
      </c>
    </row>
    <row r="136" spans="1:11" x14ac:dyDescent="0.55000000000000004">
      <c r="A136" t="s">
        <v>425</v>
      </c>
      <c r="B136" t="s">
        <v>7</v>
      </c>
      <c r="C136" t="s">
        <v>395</v>
      </c>
      <c r="E136" t="s">
        <v>359</v>
      </c>
      <c r="F136" t="s">
        <v>227</v>
      </c>
      <c r="G136" t="s">
        <v>166</v>
      </c>
      <c r="H136" t="s">
        <v>1</v>
      </c>
      <c r="I136" t="s">
        <v>426</v>
      </c>
      <c r="J136">
        <v>742</v>
      </c>
      <c r="K136" t="s">
        <v>168</v>
      </c>
    </row>
    <row r="137" spans="1:11" x14ac:dyDescent="0.55000000000000004">
      <c r="A137" t="s">
        <v>427</v>
      </c>
      <c r="B137" t="s">
        <v>427</v>
      </c>
      <c r="C137" t="s">
        <v>395</v>
      </c>
      <c r="E137" t="s">
        <v>359</v>
      </c>
      <c r="F137" t="s">
        <v>227</v>
      </c>
      <c r="G137" t="s">
        <v>166</v>
      </c>
      <c r="H137" t="s">
        <v>187</v>
      </c>
      <c r="I137" t="s">
        <v>428</v>
      </c>
      <c r="J137">
        <v>713</v>
      </c>
      <c r="K137" t="s">
        <v>168</v>
      </c>
    </row>
    <row r="138" spans="1:11" x14ac:dyDescent="0.55000000000000004">
      <c r="A138" t="s">
        <v>429</v>
      </c>
      <c r="B138" t="s">
        <v>427</v>
      </c>
      <c r="C138" t="s">
        <v>395</v>
      </c>
      <c r="E138" t="s">
        <v>359</v>
      </c>
      <c r="F138" t="s">
        <v>227</v>
      </c>
      <c r="G138" t="s">
        <v>166</v>
      </c>
      <c r="H138" t="s">
        <v>1</v>
      </c>
      <c r="I138" t="s">
        <v>430</v>
      </c>
      <c r="J138">
        <v>714</v>
      </c>
      <c r="K138" t="s">
        <v>168</v>
      </c>
    </row>
    <row r="139" spans="1:11" x14ac:dyDescent="0.55000000000000004">
      <c r="A139" t="s">
        <v>431</v>
      </c>
      <c r="B139" t="s">
        <v>427</v>
      </c>
      <c r="C139" t="s">
        <v>395</v>
      </c>
      <c r="E139" t="s">
        <v>359</v>
      </c>
      <c r="F139" t="s">
        <v>227</v>
      </c>
      <c r="G139" t="s">
        <v>166</v>
      </c>
      <c r="H139" t="s">
        <v>1</v>
      </c>
      <c r="I139" t="s">
        <v>432</v>
      </c>
      <c r="J139">
        <v>719</v>
      </c>
      <c r="K139" t="s">
        <v>168</v>
      </c>
    </row>
    <row r="140" spans="1:11" x14ac:dyDescent="0.55000000000000004">
      <c r="A140" t="s">
        <v>433</v>
      </c>
      <c r="B140" t="s">
        <v>433</v>
      </c>
      <c r="C140" t="s">
        <v>395</v>
      </c>
      <c r="E140" t="s">
        <v>359</v>
      </c>
      <c r="F140" t="s">
        <v>227</v>
      </c>
      <c r="G140" t="s">
        <v>166</v>
      </c>
      <c r="H140" t="s">
        <v>1</v>
      </c>
      <c r="I140" t="s">
        <v>434</v>
      </c>
      <c r="J140">
        <v>715</v>
      </c>
      <c r="K140" t="s">
        <v>168</v>
      </c>
    </row>
    <row r="141" spans="1:11" x14ac:dyDescent="0.55000000000000004">
      <c r="A141" t="s">
        <v>435</v>
      </c>
      <c r="B141" t="s">
        <v>433</v>
      </c>
      <c r="C141" t="s">
        <v>395</v>
      </c>
      <c r="E141" t="s">
        <v>359</v>
      </c>
      <c r="F141" t="s">
        <v>227</v>
      </c>
      <c r="G141" t="s">
        <v>166</v>
      </c>
      <c r="H141" t="s">
        <v>1</v>
      </c>
      <c r="I141" t="s">
        <v>436</v>
      </c>
      <c r="J141">
        <v>716</v>
      </c>
      <c r="K141" t="s">
        <v>168</v>
      </c>
    </row>
    <row r="142" spans="1:11" x14ac:dyDescent="0.55000000000000004">
      <c r="A142" t="s">
        <v>437</v>
      </c>
      <c r="B142" t="s">
        <v>433</v>
      </c>
      <c r="C142" t="s">
        <v>395</v>
      </c>
      <c r="E142" t="s">
        <v>359</v>
      </c>
      <c r="F142" t="s">
        <v>227</v>
      </c>
      <c r="G142" t="s">
        <v>166</v>
      </c>
      <c r="H142" t="s">
        <v>1</v>
      </c>
      <c r="I142" t="s">
        <v>438</v>
      </c>
      <c r="J142">
        <v>717</v>
      </c>
      <c r="K142" t="s">
        <v>168</v>
      </c>
    </row>
    <row r="143" spans="1:11" x14ac:dyDescent="0.55000000000000004">
      <c r="A143" t="s">
        <v>439</v>
      </c>
      <c r="B143" t="s">
        <v>433</v>
      </c>
      <c r="C143" t="s">
        <v>395</v>
      </c>
      <c r="E143" t="s">
        <v>359</v>
      </c>
      <c r="F143" t="s">
        <v>227</v>
      </c>
      <c r="G143" t="s">
        <v>166</v>
      </c>
      <c r="H143" t="s">
        <v>1</v>
      </c>
      <c r="I143" t="s">
        <v>432</v>
      </c>
      <c r="J143">
        <v>718</v>
      </c>
      <c r="K143" t="s">
        <v>168</v>
      </c>
    </row>
    <row r="144" spans="1:11" x14ac:dyDescent="0.55000000000000004">
      <c r="A144" t="s">
        <v>440</v>
      </c>
      <c r="B144" t="s">
        <v>440</v>
      </c>
      <c r="C144" t="s">
        <v>395</v>
      </c>
      <c r="E144" t="s">
        <v>359</v>
      </c>
      <c r="F144" t="s">
        <v>227</v>
      </c>
      <c r="G144" t="s">
        <v>166</v>
      </c>
      <c r="H144" t="s">
        <v>187</v>
      </c>
      <c r="I144" t="s">
        <v>441</v>
      </c>
      <c r="J144">
        <v>720</v>
      </c>
      <c r="K144" t="s">
        <v>168</v>
      </c>
    </row>
    <row r="145" spans="1:11" x14ac:dyDescent="0.55000000000000004">
      <c r="A145" t="s">
        <v>442</v>
      </c>
      <c r="B145" t="s">
        <v>442</v>
      </c>
      <c r="C145" t="s">
        <v>395</v>
      </c>
      <c r="E145" t="s">
        <v>359</v>
      </c>
      <c r="F145" t="s">
        <v>227</v>
      </c>
      <c r="G145" t="s">
        <v>166</v>
      </c>
      <c r="H145" t="s">
        <v>1</v>
      </c>
      <c r="I145" t="s">
        <v>295</v>
      </c>
      <c r="J145">
        <v>721</v>
      </c>
      <c r="K145" t="s">
        <v>168</v>
      </c>
    </row>
    <row r="146" spans="1:11" x14ac:dyDescent="0.55000000000000004">
      <c r="A146" t="s">
        <v>443</v>
      </c>
      <c r="B146" t="s">
        <v>442</v>
      </c>
      <c r="C146" t="s">
        <v>395</v>
      </c>
      <c r="E146" t="s">
        <v>359</v>
      </c>
      <c r="F146" t="s">
        <v>227</v>
      </c>
      <c r="G146" t="s">
        <v>166</v>
      </c>
      <c r="H146" t="s">
        <v>1</v>
      </c>
      <c r="I146" t="s">
        <v>299</v>
      </c>
      <c r="J146">
        <v>722</v>
      </c>
      <c r="K146" t="s">
        <v>168</v>
      </c>
    </row>
    <row r="147" spans="1:11" x14ac:dyDescent="0.55000000000000004">
      <c r="A147" t="s">
        <v>143</v>
      </c>
      <c r="B147" t="s">
        <v>143</v>
      </c>
      <c r="C147" t="s">
        <v>395</v>
      </c>
      <c r="E147" t="s">
        <v>359</v>
      </c>
      <c r="F147" t="s">
        <v>227</v>
      </c>
      <c r="G147" t="s">
        <v>166</v>
      </c>
      <c r="H147" t="s">
        <v>187</v>
      </c>
      <c r="I147" t="s">
        <v>444</v>
      </c>
      <c r="J147">
        <v>723</v>
      </c>
      <c r="K147" t="s">
        <v>168</v>
      </c>
    </row>
    <row r="148" spans="1:11" x14ac:dyDescent="0.55000000000000004">
      <c r="A148" t="s">
        <v>445</v>
      </c>
      <c r="B148" t="s">
        <v>445</v>
      </c>
      <c r="C148" t="s">
        <v>395</v>
      </c>
      <c r="E148" t="s">
        <v>359</v>
      </c>
      <c r="F148" t="s">
        <v>227</v>
      </c>
      <c r="G148" t="s">
        <v>166</v>
      </c>
      <c r="H148" t="s">
        <v>446</v>
      </c>
      <c r="I148" t="s">
        <v>325</v>
      </c>
      <c r="J148">
        <v>724</v>
      </c>
      <c r="K148" t="s">
        <v>168</v>
      </c>
    </row>
    <row r="149" spans="1:11" x14ac:dyDescent="0.55000000000000004">
      <c r="A149" t="s">
        <v>145</v>
      </c>
      <c r="B149" t="s">
        <v>145</v>
      </c>
      <c r="C149" t="s">
        <v>395</v>
      </c>
      <c r="E149" t="s">
        <v>359</v>
      </c>
      <c r="F149" t="s">
        <v>227</v>
      </c>
      <c r="G149" t="s">
        <v>166</v>
      </c>
      <c r="H149" t="s">
        <v>187</v>
      </c>
      <c r="I149" t="s">
        <v>295</v>
      </c>
      <c r="J149">
        <v>725</v>
      </c>
      <c r="K149" t="s">
        <v>168</v>
      </c>
    </row>
    <row r="150" spans="1:11" x14ac:dyDescent="0.55000000000000004">
      <c r="A150" t="s">
        <v>447</v>
      </c>
      <c r="B150" t="s">
        <v>145</v>
      </c>
      <c r="C150" t="s">
        <v>395</v>
      </c>
      <c r="E150" t="s">
        <v>359</v>
      </c>
      <c r="F150" t="s">
        <v>8</v>
      </c>
      <c r="G150" t="s">
        <v>174</v>
      </c>
      <c r="H150" t="s">
        <v>187</v>
      </c>
      <c r="K150" t="s">
        <v>168</v>
      </c>
    </row>
    <row r="151" spans="1:11" x14ac:dyDescent="0.55000000000000004">
      <c r="A151" t="s">
        <v>448</v>
      </c>
      <c r="B151" t="s">
        <v>449</v>
      </c>
      <c r="C151" t="s">
        <v>395</v>
      </c>
      <c r="E151" t="s">
        <v>359</v>
      </c>
      <c r="F151" t="s">
        <v>227</v>
      </c>
      <c r="G151" t="s">
        <v>166</v>
      </c>
      <c r="H151" t="s">
        <v>187</v>
      </c>
      <c r="I151" t="s">
        <v>450</v>
      </c>
      <c r="J151">
        <v>728</v>
      </c>
      <c r="K151" t="s">
        <v>168</v>
      </c>
    </row>
    <row r="152" spans="1:11" x14ac:dyDescent="0.55000000000000004">
      <c r="A152" t="s">
        <v>449</v>
      </c>
      <c r="B152" t="s">
        <v>449</v>
      </c>
      <c r="C152" t="s">
        <v>395</v>
      </c>
      <c r="E152" t="s">
        <v>359</v>
      </c>
      <c r="F152" t="s">
        <v>227</v>
      </c>
      <c r="G152" t="s">
        <v>166</v>
      </c>
      <c r="H152" t="s">
        <v>187</v>
      </c>
      <c r="I152" t="s">
        <v>451</v>
      </c>
      <c r="J152">
        <v>729</v>
      </c>
      <c r="K152" t="s">
        <v>168</v>
      </c>
    </row>
    <row r="153" spans="1:11" x14ac:dyDescent="0.55000000000000004">
      <c r="A153" t="s">
        <v>452</v>
      </c>
      <c r="B153" t="s">
        <v>394</v>
      </c>
      <c r="C153" t="s">
        <v>395</v>
      </c>
      <c r="E153" t="s">
        <v>359</v>
      </c>
      <c r="F153" t="s">
        <v>227</v>
      </c>
      <c r="G153" t="s">
        <v>166</v>
      </c>
      <c r="H153" t="s">
        <v>187</v>
      </c>
      <c r="I153" t="s">
        <v>252</v>
      </c>
      <c r="J153">
        <v>726</v>
      </c>
      <c r="K153" t="s">
        <v>168</v>
      </c>
    </row>
    <row r="154" spans="1:11" x14ac:dyDescent="0.55000000000000004">
      <c r="A154" t="s">
        <v>453</v>
      </c>
      <c r="B154" t="s">
        <v>394</v>
      </c>
      <c r="C154" t="s">
        <v>395</v>
      </c>
      <c r="E154" t="s">
        <v>359</v>
      </c>
      <c r="F154" t="s">
        <v>227</v>
      </c>
      <c r="G154" t="s">
        <v>166</v>
      </c>
      <c r="H154" t="s">
        <v>187</v>
      </c>
      <c r="I154" t="s">
        <v>454</v>
      </c>
      <c r="J154">
        <v>730</v>
      </c>
      <c r="K154" t="s">
        <v>168</v>
      </c>
    </row>
    <row r="155" spans="1:11" x14ac:dyDescent="0.55000000000000004">
      <c r="A155" t="s">
        <v>455</v>
      </c>
      <c r="B155" t="s">
        <v>394</v>
      </c>
      <c r="C155" t="s">
        <v>395</v>
      </c>
      <c r="E155" t="s">
        <v>359</v>
      </c>
      <c r="F155" t="s">
        <v>227</v>
      </c>
      <c r="G155" t="s">
        <v>166</v>
      </c>
      <c r="H155" t="s">
        <v>187</v>
      </c>
      <c r="I155" t="s">
        <v>456</v>
      </c>
      <c r="J155">
        <v>731</v>
      </c>
      <c r="K155" t="s">
        <v>168</v>
      </c>
    </row>
    <row r="156" spans="1:11" x14ac:dyDescent="0.55000000000000004">
      <c r="A156" t="s">
        <v>457</v>
      </c>
      <c r="B156" t="s">
        <v>394</v>
      </c>
      <c r="C156" t="s">
        <v>395</v>
      </c>
      <c r="E156" t="s">
        <v>359</v>
      </c>
      <c r="F156" t="s">
        <v>227</v>
      </c>
      <c r="G156" t="s">
        <v>166</v>
      </c>
      <c r="H156" t="s">
        <v>187</v>
      </c>
      <c r="I156" t="s">
        <v>458</v>
      </c>
      <c r="J156">
        <v>732</v>
      </c>
      <c r="K156" t="s">
        <v>168</v>
      </c>
    </row>
    <row r="157" spans="1:11" x14ac:dyDescent="0.55000000000000004">
      <c r="A157" t="s">
        <v>144</v>
      </c>
      <c r="B157" t="s">
        <v>394</v>
      </c>
      <c r="C157" t="s">
        <v>395</v>
      </c>
      <c r="E157" t="s">
        <v>359</v>
      </c>
      <c r="F157" t="s">
        <v>8</v>
      </c>
      <c r="G157" t="s">
        <v>166</v>
      </c>
      <c r="H157" t="s">
        <v>187</v>
      </c>
      <c r="I157" t="s">
        <v>459</v>
      </c>
      <c r="J157">
        <v>735</v>
      </c>
      <c r="K157" t="s">
        <v>168</v>
      </c>
    </row>
    <row r="158" spans="1:11" x14ac:dyDescent="0.55000000000000004">
      <c r="A158" t="s">
        <v>460</v>
      </c>
      <c r="B158" t="s">
        <v>394</v>
      </c>
      <c r="C158" t="s">
        <v>395</v>
      </c>
      <c r="E158" t="s">
        <v>359</v>
      </c>
      <c r="F158" t="s">
        <v>165</v>
      </c>
      <c r="G158" t="s">
        <v>166</v>
      </c>
      <c r="H158" t="s">
        <v>187</v>
      </c>
      <c r="I158" t="s">
        <v>461</v>
      </c>
      <c r="J158">
        <v>737</v>
      </c>
      <c r="K158" t="s">
        <v>168</v>
      </c>
    </row>
    <row r="159" spans="1:11" x14ac:dyDescent="0.55000000000000004">
      <c r="A159" t="s">
        <v>462</v>
      </c>
      <c r="B159" t="s">
        <v>463</v>
      </c>
      <c r="C159" t="s">
        <v>395</v>
      </c>
      <c r="E159" t="s">
        <v>359</v>
      </c>
      <c r="F159" t="s">
        <v>227</v>
      </c>
      <c r="G159" t="s">
        <v>166</v>
      </c>
      <c r="H159" t="s">
        <v>364</v>
      </c>
      <c r="I159" t="s">
        <v>464</v>
      </c>
      <c r="J159">
        <v>740</v>
      </c>
      <c r="K159" t="s">
        <v>168</v>
      </c>
    </row>
    <row r="160" spans="1:11" x14ac:dyDescent="0.55000000000000004">
      <c r="A160" t="s">
        <v>29</v>
      </c>
      <c r="B160" t="s">
        <v>394</v>
      </c>
      <c r="C160" t="s">
        <v>395</v>
      </c>
      <c r="E160" t="s">
        <v>359</v>
      </c>
      <c r="F160" t="s">
        <v>165</v>
      </c>
      <c r="G160" t="s">
        <v>166</v>
      </c>
      <c r="H160" t="s">
        <v>187</v>
      </c>
      <c r="I160" t="s">
        <v>465</v>
      </c>
      <c r="J160">
        <v>739</v>
      </c>
      <c r="K160" t="s">
        <v>168</v>
      </c>
    </row>
    <row r="161" spans="1:11" x14ac:dyDescent="0.55000000000000004">
      <c r="A161" t="s">
        <v>466</v>
      </c>
      <c r="B161" t="s">
        <v>463</v>
      </c>
      <c r="C161" t="s">
        <v>395</v>
      </c>
      <c r="E161" t="s">
        <v>359</v>
      </c>
      <c r="F161" t="s">
        <v>227</v>
      </c>
      <c r="G161" t="s">
        <v>166</v>
      </c>
      <c r="H161" t="s">
        <v>187</v>
      </c>
      <c r="I161" t="s">
        <v>467</v>
      </c>
      <c r="J161">
        <v>750</v>
      </c>
      <c r="K161" t="s">
        <v>168</v>
      </c>
    </row>
    <row r="162" spans="1:11" x14ac:dyDescent="0.55000000000000004">
      <c r="A162" t="s">
        <v>468</v>
      </c>
      <c r="B162" t="s">
        <v>394</v>
      </c>
      <c r="C162" t="s">
        <v>395</v>
      </c>
      <c r="E162" t="s">
        <v>359</v>
      </c>
      <c r="F162" t="s">
        <v>8</v>
      </c>
      <c r="G162" t="s">
        <v>174</v>
      </c>
      <c r="H162" t="s">
        <v>187</v>
      </c>
      <c r="K162" t="s">
        <v>168</v>
      </c>
    </row>
    <row r="163" spans="1:11" x14ac:dyDescent="0.55000000000000004">
      <c r="A163" t="s">
        <v>463</v>
      </c>
      <c r="B163" t="s">
        <v>463</v>
      </c>
      <c r="C163" t="s">
        <v>395</v>
      </c>
      <c r="E163" t="s">
        <v>359</v>
      </c>
      <c r="F163" t="s">
        <v>227</v>
      </c>
      <c r="G163" t="s">
        <v>166</v>
      </c>
      <c r="H163" t="s">
        <v>187</v>
      </c>
      <c r="I163" t="s">
        <v>469</v>
      </c>
      <c r="J163">
        <v>760</v>
      </c>
      <c r="K163" t="s">
        <v>168</v>
      </c>
    </row>
    <row r="164" spans="1:11" x14ac:dyDescent="0.55000000000000004">
      <c r="A164" t="s">
        <v>470</v>
      </c>
      <c r="B164" t="s">
        <v>470</v>
      </c>
      <c r="C164" t="s">
        <v>471</v>
      </c>
      <c r="E164" t="s">
        <v>359</v>
      </c>
      <c r="F164" t="s">
        <v>227</v>
      </c>
      <c r="G164" t="s">
        <v>166</v>
      </c>
      <c r="H164" t="s">
        <v>1</v>
      </c>
      <c r="I164" t="s">
        <v>325</v>
      </c>
      <c r="J164">
        <v>800</v>
      </c>
      <c r="K164" t="s">
        <v>168</v>
      </c>
    </row>
    <row r="165" spans="1:11" x14ac:dyDescent="0.55000000000000004">
      <c r="A165" t="s">
        <v>472</v>
      </c>
      <c r="B165" t="s">
        <v>472</v>
      </c>
      <c r="C165" t="s">
        <v>473</v>
      </c>
      <c r="E165" t="s">
        <v>359</v>
      </c>
      <c r="F165" t="s">
        <v>227</v>
      </c>
      <c r="G165" t="s">
        <v>166</v>
      </c>
      <c r="H165" t="s">
        <v>1</v>
      </c>
      <c r="I165" t="s">
        <v>474</v>
      </c>
      <c r="J165">
        <v>810</v>
      </c>
      <c r="K165" t="s">
        <v>168</v>
      </c>
    </row>
    <row r="166" spans="1:11" x14ac:dyDescent="0.55000000000000004">
      <c r="A166" t="s">
        <v>475</v>
      </c>
      <c r="B166" t="s">
        <v>475</v>
      </c>
      <c r="C166" t="s">
        <v>473</v>
      </c>
      <c r="E166" t="s">
        <v>359</v>
      </c>
      <c r="F166" t="s">
        <v>227</v>
      </c>
      <c r="G166" t="s">
        <v>166</v>
      </c>
      <c r="H166" t="s">
        <v>1</v>
      </c>
      <c r="I166" t="s">
        <v>325</v>
      </c>
      <c r="J166">
        <v>811</v>
      </c>
      <c r="K166" t="s">
        <v>168</v>
      </c>
    </row>
  </sheetData>
  <phoneticPr fontId="18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4A9A4-BBC9-4391-872E-698EA9EA0949}">
  <sheetPr>
    <outlinePr summaryBelow="0" summaryRight="0"/>
  </sheetPr>
  <dimension ref="A1:U7"/>
  <sheetViews>
    <sheetView topLeftCell="H1" workbookViewId="0">
      <selection activeCell="O1" sqref="O1"/>
    </sheetView>
  </sheetViews>
  <sheetFormatPr defaultColWidth="13.25" defaultRowHeight="15.75" customHeight="1" x14ac:dyDescent="0.25"/>
  <cols>
    <col min="1" max="2" width="8" style="11" customWidth="1"/>
    <col min="3" max="4" width="9.83203125" style="11" customWidth="1"/>
    <col min="5" max="6" width="13.25" style="11" customWidth="1"/>
    <col min="7" max="7" width="11.5" style="11" customWidth="1"/>
    <col min="8" max="8" width="15.83203125" style="11" customWidth="1"/>
    <col min="9" max="9" width="6.83203125" style="11" customWidth="1"/>
    <col min="10" max="10" width="9.83203125" style="11" customWidth="1"/>
    <col min="11" max="11" width="5.9140625" style="11" customWidth="1"/>
    <col min="12" max="12" width="22" style="11" customWidth="1"/>
    <col min="13" max="13" width="5.75" style="11" customWidth="1"/>
    <col min="14" max="14" width="6.25" style="11" customWidth="1"/>
    <col min="15" max="15" width="32.5" style="11" customWidth="1"/>
    <col min="16" max="16" width="9.83203125" style="11" customWidth="1"/>
    <col min="17" max="17" width="8.5" style="11" customWidth="1"/>
    <col min="18" max="18" width="8" style="11" customWidth="1"/>
    <col min="19" max="19" width="10.75" style="11" customWidth="1"/>
    <col min="20" max="21" width="12.83203125" style="11" customWidth="1"/>
    <col min="22" max="16384" width="13.25" style="11"/>
  </cols>
  <sheetData>
    <row r="1" spans="1:21" ht="15.75" customHeight="1" x14ac:dyDescent="0.25">
      <c r="A1" s="11" t="s">
        <v>137</v>
      </c>
      <c r="B1" s="11" t="s">
        <v>136</v>
      </c>
      <c r="C1" s="16" t="s">
        <v>30</v>
      </c>
      <c r="D1" s="16" t="s">
        <v>135</v>
      </c>
      <c r="E1" s="11" t="s">
        <v>134</v>
      </c>
      <c r="F1" s="11" t="s">
        <v>133</v>
      </c>
      <c r="G1" s="11" t="s">
        <v>132</v>
      </c>
      <c r="H1" s="11" t="s">
        <v>131</v>
      </c>
      <c r="I1" s="11" t="s">
        <v>130</v>
      </c>
      <c r="J1" s="11" t="s">
        <v>129</v>
      </c>
      <c r="K1" s="11" t="s">
        <v>128</v>
      </c>
      <c r="L1" s="11" t="s">
        <v>32</v>
      </c>
      <c r="M1" s="11" t="s">
        <v>127</v>
      </c>
      <c r="N1" s="11" t="s">
        <v>126</v>
      </c>
      <c r="O1" s="11" t="s">
        <v>125</v>
      </c>
      <c r="P1" s="16" t="s">
        <v>124</v>
      </c>
      <c r="Q1" s="11" t="s">
        <v>123</v>
      </c>
      <c r="R1" s="11" t="s">
        <v>122</v>
      </c>
      <c r="S1" s="11" t="s">
        <v>121</v>
      </c>
      <c r="T1" s="11" t="s">
        <v>120</v>
      </c>
      <c r="U1" s="11" t="s">
        <v>119</v>
      </c>
    </row>
    <row r="2" spans="1:21" ht="15.75" customHeight="1" x14ac:dyDescent="0.25">
      <c r="A2" s="11" t="s">
        <v>107</v>
      </c>
      <c r="B2" s="14">
        <v>200</v>
      </c>
      <c r="C2" s="15">
        <v>43831</v>
      </c>
      <c r="D2" s="13"/>
      <c r="E2" s="11" t="s">
        <v>106</v>
      </c>
      <c r="F2" s="11" t="s">
        <v>106</v>
      </c>
      <c r="G2" s="11" t="s">
        <v>4</v>
      </c>
      <c r="H2" s="11" t="s">
        <v>117</v>
      </c>
      <c r="I2" s="14">
        <v>550000</v>
      </c>
      <c r="J2" s="11" t="s">
        <v>97</v>
      </c>
      <c r="K2" s="14">
        <v>50000</v>
      </c>
      <c r="L2" s="11" t="s">
        <v>118</v>
      </c>
      <c r="M2" s="12" t="s">
        <v>109</v>
      </c>
      <c r="N2" s="11" t="s">
        <v>95</v>
      </c>
      <c r="O2" s="12"/>
      <c r="P2" s="15">
        <v>43831</v>
      </c>
      <c r="Q2" s="11" t="s">
        <v>0</v>
      </c>
      <c r="R2" s="14">
        <v>550000</v>
      </c>
      <c r="S2" s="11" t="s">
        <v>108</v>
      </c>
      <c r="T2" s="11" t="s">
        <v>114</v>
      </c>
      <c r="U2" s="12"/>
    </row>
    <row r="3" spans="1:21" ht="15.75" customHeight="1" x14ac:dyDescent="0.25">
      <c r="A3" s="11" t="s">
        <v>107</v>
      </c>
      <c r="B3" s="14">
        <v>210</v>
      </c>
      <c r="C3" s="15">
        <v>43835</v>
      </c>
      <c r="D3" s="13"/>
      <c r="E3" s="11" t="s">
        <v>106</v>
      </c>
      <c r="F3" s="11" t="s">
        <v>106</v>
      </c>
      <c r="G3" s="11" t="s">
        <v>4</v>
      </c>
      <c r="H3" s="11" t="s">
        <v>117</v>
      </c>
      <c r="I3" s="14">
        <v>550000</v>
      </c>
      <c r="J3" s="11" t="s">
        <v>97</v>
      </c>
      <c r="K3" s="14">
        <v>50000</v>
      </c>
      <c r="L3" s="11" t="s">
        <v>116</v>
      </c>
      <c r="M3" s="12" t="s">
        <v>103</v>
      </c>
      <c r="N3" s="11" t="s">
        <v>95</v>
      </c>
      <c r="O3" s="11" t="s">
        <v>102</v>
      </c>
      <c r="P3" s="15">
        <v>43835</v>
      </c>
      <c r="Q3" s="11" t="s">
        <v>115</v>
      </c>
      <c r="R3" s="14">
        <v>495000</v>
      </c>
      <c r="S3" s="11" t="s">
        <v>101</v>
      </c>
      <c r="T3" s="11" t="s">
        <v>114</v>
      </c>
      <c r="U3" s="12"/>
    </row>
    <row r="4" spans="1:21" ht="15.75" customHeight="1" x14ac:dyDescent="0.25">
      <c r="A4" s="12"/>
      <c r="B4" s="12"/>
      <c r="C4" s="13"/>
      <c r="D4" s="13"/>
      <c r="E4" s="12"/>
      <c r="F4" s="12"/>
      <c r="G4" s="11" t="s">
        <v>99</v>
      </c>
      <c r="H4" s="11" t="s">
        <v>113</v>
      </c>
      <c r="I4" s="14">
        <v>-55000</v>
      </c>
      <c r="J4" s="11" t="s">
        <v>97</v>
      </c>
      <c r="K4" s="14">
        <v>-5000</v>
      </c>
      <c r="L4" s="12"/>
      <c r="M4" s="12" t="s">
        <v>112</v>
      </c>
      <c r="N4" s="11" t="s">
        <v>95</v>
      </c>
      <c r="O4" s="12"/>
      <c r="P4" s="13"/>
      <c r="Q4" s="12"/>
      <c r="R4" s="12"/>
      <c r="S4" s="12"/>
      <c r="T4" s="12"/>
      <c r="U4" s="11" t="s">
        <v>111</v>
      </c>
    </row>
    <row r="5" spans="1:21" ht="15.75" customHeight="1" x14ac:dyDescent="0.25">
      <c r="A5" s="11" t="s">
        <v>107</v>
      </c>
      <c r="B5" s="14">
        <v>220</v>
      </c>
      <c r="C5" s="15">
        <v>43840</v>
      </c>
      <c r="D5" s="15">
        <v>43871</v>
      </c>
      <c r="E5" s="11" t="s">
        <v>106</v>
      </c>
      <c r="F5" s="11" t="s">
        <v>106</v>
      </c>
      <c r="G5" s="11" t="s">
        <v>4</v>
      </c>
      <c r="H5" s="11" t="s">
        <v>105</v>
      </c>
      <c r="I5" s="14">
        <v>540000</v>
      </c>
      <c r="J5" s="11" t="s">
        <v>97</v>
      </c>
      <c r="K5" s="14">
        <v>40000</v>
      </c>
      <c r="L5" s="11" t="s">
        <v>110</v>
      </c>
      <c r="M5" s="12" t="s">
        <v>109</v>
      </c>
      <c r="N5" s="11" t="s">
        <v>95</v>
      </c>
      <c r="O5" s="12"/>
      <c r="P5" s="13"/>
      <c r="Q5" s="12"/>
      <c r="R5" s="12"/>
      <c r="S5" s="11" t="s">
        <v>108</v>
      </c>
      <c r="T5" s="11" t="s">
        <v>100</v>
      </c>
      <c r="U5" s="12"/>
    </row>
    <row r="6" spans="1:21" ht="15.75" customHeight="1" x14ac:dyDescent="0.25">
      <c r="A6" s="11" t="s">
        <v>107</v>
      </c>
      <c r="B6" s="14">
        <v>230</v>
      </c>
      <c r="C6" s="15">
        <v>43845</v>
      </c>
      <c r="D6" s="15">
        <v>43876</v>
      </c>
      <c r="E6" s="11" t="s">
        <v>106</v>
      </c>
      <c r="F6" s="11" t="s">
        <v>106</v>
      </c>
      <c r="G6" s="11" t="s">
        <v>4</v>
      </c>
      <c r="H6" s="11" t="s">
        <v>105</v>
      </c>
      <c r="I6" s="14">
        <v>540000</v>
      </c>
      <c r="J6" s="11" t="s">
        <v>97</v>
      </c>
      <c r="K6" s="14">
        <v>40000</v>
      </c>
      <c r="L6" s="11" t="s">
        <v>104</v>
      </c>
      <c r="M6" s="12" t="s">
        <v>103</v>
      </c>
      <c r="N6" s="11" t="s">
        <v>95</v>
      </c>
      <c r="O6" s="11" t="s">
        <v>102</v>
      </c>
      <c r="P6" s="13"/>
      <c r="Q6" s="12"/>
      <c r="R6" s="12"/>
      <c r="S6" s="11" t="s">
        <v>101</v>
      </c>
      <c r="T6" s="11" t="s">
        <v>100</v>
      </c>
      <c r="U6" s="12"/>
    </row>
    <row r="7" spans="1:21" ht="15.75" customHeight="1" x14ac:dyDescent="0.25">
      <c r="A7" s="12"/>
      <c r="B7" s="12"/>
      <c r="C7" s="13"/>
      <c r="D7" s="13"/>
      <c r="E7" s="12"/>
      <c r="F7" s="12"/>
      <c r="G7" s="11" t="s">
        <v>99</v>
      </c>
      <c r="H7" s="11" t="s">
        <v>98</v>
      </c>
      <c r="I7" s="14">
        <v>-54000</v>
      </c>
      <c r="J7" s="11" t="s">
        <v>97</v>
      </c>
      <c r="K7" s="14">
        <v>-4000</v>
      </c>
      <c r="L7" s="12"/>
      <c r="M7" s="12" t="s">
        <v>96</v>
      </c>
      <c r="N7" s="11" t="s">
        <v>95</v>
      </c>
      <c r="O7" s="12"/>
      <c r="P7" s="13"/>
      <c r="Q7" s="12"/>
      <c r="R7" s="12"/>
      <c r="S7" s="12"/>
      <c r="T7" s="12"/>
      <c r="U7" s="11" t="s">
        <v>94</v>
      </c>
    </row>
  </sheetData>
  <phoneticPr fontId="1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DE76F-4A70-4A55-814C-F9D7C694557A}">
  <sheetPr>
    <outlinePr summaryBelow="0" summaryRight="0"/>
  </sheetPr>
  <dimension ref="A1:T167"/>
  <sheetViews>
    <sheetView tabSelected="1" zoomScale="71" zoomScaleNormal="115" workbookViewId="0">
      <selection activeCell="F61" sqref="F61"/>
    </sheetView>
  </sheetViews>
  <sheetFormatPr defaultColWidth="13.25" defaultRowHeight="18" customHeight="1" x14ac:dyDescent="0.25"/>
  <cols>
    <col min="1" max="1" width="9.58203125" style="11" customWidth="1"/>
    <col min="2" max="2" width="8.58203125" customWidth="1"/>
    <col min="3" max="3" width="11.5" style="11" customWidth="1"/>
    <col min="4" max="4" width="15.08203125" customWidth="1"/>
    <col min="5" max="5" width="12.08203125" style="11" customWidth="1"/>
    <col min="7" max="7" width="10.6640625" style="11" customWidth="1"/>
    <col min="8" max="8" width="11.5" style="11" customWidth="1"/>
    <col min="9" max="9" width="11.58203125" style="11" customWidth="1"/>
    <col min="10" max="10" width="14.25" style="11" customWidth="1"/>
    <col min="11" max="11" width="12.83203125" style="11" customWidth="1"/>
    <col min="12" max="12" width="55.1640625" customWidth="1"/>
    <col min="13" max="13" width="69.08203125" style="30" customWidth="1"/>
    <col min="14" max="14" width="10.83203125" style="11" customWidth="1"/>
    <col min="15" max="15" width="12.33203125" customWidth="1"/>
    <col min="16" max="16" width="12.4140625" customWidth="1"/>
    <col min="17" max="17" width="13.25" style="11"/>
    <col min="18" max="18" width="11.83203125" style="11" customWidth="1"/>
    <col min="19" max="16384" width="13.25" style="11"/>
  </cols>
  <sheetData>
    <row r="1" spans="1:17" ht="18" customHeight="1" x14ac:dyDescent="0.25">
      <c r="A1" s="11" t="s">
        <v>137</v>
      </c>
      <c r="B1" s="11" t="s">
        <v>123</v>
      </c>
      <c r="C1" s="16" t="s">
        <v>30</v>
      </c>
      <c r="D1" s="11" t="s">
        <v>132</v>
      </c>
      <c r="E1" s="11" t="s">
        <v>127</v>
      </c>
      <c r="F1" s="11" t="s">
        <v>131</v>
      </c>
      <c r="G1" s="17" t="s">
        <v>149</v>
      </c>
      <c r="H1" s="17" t="s">
        <v>150</v>
      </c>
      <c r="I1" s="11" t="s">
        <v>130</v>
      </c>
      <c r="J1" s="17" t="s">
        <v>497</v>
      </c>
      <c r="K1" s="27" t="s">
        <v>496</v>
      </c>
      <c r="L1" s="18" t="s">
        <v>500</v>
      </c>
      <c r="M1" s="11" t="s">
        <v>32</v>
      </c>
      <c r="N1" s="29" t="s">
        <v>477</v>
      </c>
      <c r="O1" s="18" t="s">
        <v>478</v>
      </c>
      <c r="P1" s="11" t="s">
        <v>550</v>
      </c>
      <c r="Q1" s="18" t="s">
        <v>551</v>
      </c>
    </row>
    <row r="2" spans="1:17" ht="18" customHeight="1" x14ac:dyDescent="0.25">
      <c r="A2" s="22" t="s">
        <v>492</v>
      </c>
      <c r="B2" s="20" t="s">
        <v>152</v>
      </c>
      <c r="C2" s="21">
        <v>45126</v>
      </c>
      <c r="D2" s="36" t="s">
        <v>169</v>
      </c>
      <c r="E2" s="20"/>
      <c r="F2" s="22" t="s">
        <v>1</v>
      </c>
      <c r="G2" s="25">
        <f>-600000/20.63</f>
        <v>-29083.858458555504</v>
      </c>
      <c r="H2" s="11">
        <v>20.63</v>
      </c>
      <c r="I2" s="23">
        <f>ROUND(テーブル10[[#This Row],[元金額]]*テーブル10[[#This Row],[為替レート]],0)</f>
        <v>-600000</v>
      </c>
      <c r="J2" s="20"/>
      <c r="K2" s="32"/>
      <c r="L2" s="18" t="s">
        <v>590</v>
      </c>
      <c r="M2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{-29083.8584585555元 * 20.63円/元, }</v>
      </c>
      <c r="N2" s="29" cm="1">
        <f t="array" ref="N2">-SUMPRODUCT((B$2:B$167=B2)*((C$2:C$167&lt;C2)+(C$2:C$167=C2)*(ROW(G$2:G$167)&lt;=ROW(G2)))*G$2:G$167)</f>
        <v>29083.858458555504</v>
      </c>
      <c r="O2" s="29" cm="1">
        <f t="array" ref="O2">-SUMPRODUCT((B$2:B$167=B2)*((C$2:C$167&lt;C2)+(C$2:C$167=C2)*(ROW(I$2:I$167)&lt;=ROW(I2)))*I$2:I$167)</f>
        <v>600000</v>
      </c>
      <c r="P2" s="29">
        <f>ROUND(テーブル10[[#This Row],[為替レート]]*テーブル10[[#This Row],[元残高]],0)</f>
        <v>600000</v>
      </c>
      <c r="Q2" s="42">
        <f>テーブル10[[#This Row],[円残高]]-テーブル10[[#This Row],[円残高_時価]]</f>
        <v>0</v>
      </c>
    </row>
    <row r="3" spans="1:17" ht="18" customHeight="1" x14ac:dyDescent="0.25">
      <c r="A3" s="20" t="s">
        <v>107</v>
      </c>
      <c r="B3" s="20" t="s">
        <v>152</v>
      </c>
      <c r="C3" s="21">
        <v>45140</v>
      </c>
      <c r="D3" s="36" t="s">
        <v>29</v>
      </c>
      <c r="E3" s="20"/>
      <c r="F3" s="20" t="s">
        <v>1</v>
      </c>
      <c r="G3" s="25">
        <v>16.399999999999999</v>
      </c>
      <c r="H3" s="11">
        <v>20.63</v>
      </c>
      <c r="I3" s="23">
        <f>ROUND(テーブル10[[#This Row],[元金額]]*テーブル10[[#This Row],[為替レート]],0)</f>
        <v>338</v>
      </c>
      <c r="J3" s="20" t="s">
        <v>499</v>
      </c>
      <c r="K3" s="32" t="s">
        <v>38</v>
      </c>
      <c r="L3" s="28"/>
      <c r="M3" s="20" t="s">
        <v>502</v>
      </c>
      <c r="N3" s="29" cm="1">
        <f t="array" ref="N3">-SUMPRODUCT((B$2:B$167=B3)*((C$2:C$167&lt;C3)+(C$2:C$167=C3)*(ROW(G$2:G$167)&lt;=ROW(G3)))*G$2:G$167)</f>
        <v>29067.458458555502</v>
      </c>
      <c r="O3" s="29" cm="1">
        <f t="array" ref="O3">-SUMPRODUCT((B$2:B$167=B3)*((C$2:C$167&lt;C3)+(C$2:C$167=C3)*(ROW(I$2:I$167)&lt;=ROW(I3)))*I$2:I$167)</f>
        <v>599662</v>
      </c>
      <c r="P3" s="29">
        <f>ROUND(テーブル10[[#This Row],[為替レート]]*テーブル10[[#This Row],[元残高]],0)</f>
        <v>599662</v>
      </c>
      <c r="Q3" s="42">
        <f>テーブル10[[#This Row],[円残高]]-テーブル10[[#This Row],[円残高_時価]]</f>
        <v>0</v>
      </c>
    </row>
    <row r="4" spans="1:17" ht="18" customHeight="1" x14ac:dyDescent="0.25">
      <c r="A4" s="20" t="s">
        <v>107</v>
      </c>
      <c r="B4" s="20" t="s">
        <v>152</v>
      </c>
      <c r="C4" s="21">
        <v>45140</v>
      </c>
      <c r="D4" s="36" t="s">
        <v>29</v>
      </c>
      <c r="E4" s="20"/>
      <c r="F4" s="20" t="s">
        <v>1</v>
      </c>
      <c r="G4" s="25">
        <v>15.8</v>
      </c>
      <c r="H4" s="11">
        <v>20.63</v>
      </c>
      <c r="I4" s="23">
        <f>ROUND(テーブル10[[#This Row],[元金額]]*テーブル10[[#This Row],[為替レート]],0)</f>
        <v>326</v>
      </c>
      <c r="J4" s="20" t="s">
        <v>499</v>
      </c>
      <c r="K4" s="32" t="s">
        <v>18</v>
      </c>
      <c r="L4" s="28"/>
      <c r="M4" s="20" t="s">
        <v>503</v>
      </c>
      <c r="N4" s="29" cm="1">
        <f t="array" ref="N4">-SUMPRODUCT((B$2:B$167=B4)*((C$2:C$167&lt;C4)+(C$2:C$167=C4)*(ROW(G$2:G$167)&lt;=ROW(G4)))*G$2:G$167)</f>
        <v>29051.658458555503</v>
      </c>
      <c r="O4" s="29" cm="1">
        <f t="array" ref="O4">-SUMPRODUCT((B$2:B$167=B4)*((C$2:C$167&lt;C4)+(C$2:C$167=C4)*(ROW(I$2:I$167)&lt;=ROW(I4)))*I$2:I$167)</f>
        <v>599336</v>
      </c>
      <c r="P4" s="29">
        <f>ROUND(テーブル10[[#This Row],[為替レート]]*テーブル10[[#This Row],[元残高]],0)</f>
        <v>599336</v>
      </c>
      <c r="Q4" s="42">
        <f>テーブル10[[#This Row],[円残高]]-テーブル10[[#This Row],[円残高_時価]]</f>
        <v>0</v>
      </c>
    </row>
    <row r="5" spans="1:17" ht="18" customHeight="1" x14ac:dyDescent="0.25">
      <c r="A5" s="20" t="s">
        <v>107</v>
      </c>
      <c r="B5" s="20" t="s">
        <v>152</v>
      </c>
      <c r="C5" s="21">
        <v>45140</v>
      </c>
      <c r="D5" s="36" t="s">
        <v>29</v>
      </c>
      <c r="E5" s="20"/>
      <c r="F5" s="20" t="s">
        <v>1</v>
      </c>
      <c r="G5" s="44">
        <v>15.08</v>
      </c>
      <c r="H5" s="11">
        <v>20.63</v>
      </c>
      <c r="I5" s="23">
        <f>ROUND(テーブル10[[#This Row],[元金額]]*テーブル10[[#This Row],[為替レート]],0)</f>
        <v>311</v>
      </c>
      <c r="J5" s="20" t="s">
        <v>499</v>
      </c>
      <c r="K5" s="32" t="s">
        <v>18</v>
      </c>
      <c r="L5" s="28"/>
      <c r="M5" s="20" t="s">
        <v>504</v>
      </c>
      <c r="N5" s="29" cm="1">
        <f t="array" ref="N5">-SUMPRODUCT((B$2:B$167=B5)*((C$2:C$167&lt;C5)+(C$2:C$167=C5)*(ROW(G$2:G$167)&lt;=ROW(G5)))*G$2:G$167)</f>
        <v>29036.578458555501</v>
      </c>
      <c r="O5" s="29" cm="1">
        <f t="array" ref="O5">-SUMPRODUCT((B$2:B$167=B5)*((C$2:C$167&lt;C5)+(C$2:C$167=C5)*(ROW(I$2:I$167)&lt;=ROW(I5)))*I$2:I$167)</f>
        <v>599025</v>
      </c>
      <c r="P5" s="29">
        <f>ROUND(テーブル10[[#This Row],[為替レート]]*テーブル10[[#This Row],[元残高]],0)</f>
        <v>599025</v>
      </c>
      <c r="Q5" s="42">
        <f>テーブル10[[#This Row],[円残高]]-テーブル10[[#This Row],[円残高_時価]]</f>
        <v>0</v>
      </c>
    </row>
    <row r="6" spans="1:17" ht="18" customHeight="1" x14ac:dyDescent="0.25">
      <c r="A6" s="20" t="s">
        <v>107</v>
      </c>
      <c r="B6" s="20" t="s">
        <v>152</v>
      </c>
      <c r="C6" s="21">
        <v>45140</v>
      </c>
      <c r="D6" s="36" t="s">
        <v>29</v>
      </c>
      <c r="E6" s="20"/>
      <c r="F6" s="20" t="s">
        <v>1</v>
      </c>
      <c r="G6" s="25">
        <v>16.2</v>
      </c>
      <c r="H6" s="11">
        <v>20.63</v>
      </c>
      <c r="I6" s="23">
        <f>ROUND(テーブル10[[#This Row],[元金額]]*テーブル10[[#This Row],[為替レート]],0)</f>
        <v>334</v>
      </c>
      <c r="J6" s="20" t="s">
        <v>499</v>
      </c>
      <c r="K6" s="32" t="s">
        <v>18</v>
      </c>
      <c r="L6" s="28"/>
      <c r="M6" s="20" t="s">
        <v>506</v>
      </c>
      <c r="N6" s="29" cm="1">
        <f t="array" ref="N6">-SUMPRODUCT((B$2:B$167=B6)*((C$2:C$167&lt;C6)+(C$2:C$167=C6)*(ROW(G$2:G$167)&lt;=ROW(G6)))*G$2:G$167)</f>
        <v>29020.3784585555</v>
      </c>
      <c r="O6" s="29" cm="1">
        <f t="array" ref="O6">-SUMPRODUCT((B$2:B$167=B6)*((C$2:C$167&lt;C6)+(C$2:C$167=C6)*(ROW(I$2:I$167)&lt;=ROW(I6)))*I$2:I$167)</f>
        <v>598691</v>
      </c>
      <c r="P6" s="29">
        <f>ROUND(テーブル10[[#This Row],[為替レート]]*テーブル10[[#This Row],[元残高]],0)</f>
        <v>598690</v>
      </c>
      <c r="Q6" s="42">
        <f>テーブル10[[#This Row],[円残高]]-テーブル10[[#This Row],[円残高_時価]]</f>
        <v>1</v>
      </c>
    </row>
    <row r="7" spans="1:17" ht="18" customHeight="1" x14ac:dyDescent="0.25">
      <c r="A7" s="20" t="s">
        <v>107</v>
      </c>
      <c r="B7" s="20" t="s">
        <v>152</v>
      </c>
      <c r="C7" s="21">
        <v>45140</v>
      </c>
      <c r="D7" s="36" t="s">
        <v>29</v>
      </c>
      <c r="E7" s="20"/>
      <c r="F7" s="20" t="s">
        <v>1</v>
      </c>
      <c r="G7" s="25">
        <v>13.8</v>
      </c>
      <c r="H7" s="11">
        <v>20.63</v>
      </c>
      <c r="I7" s="24">
        <f>ROUND(テーブル10[[#This Row],[元金額]]*テーブル10[[#This Row],[為替レート]],0)</f>
        <v>285</v>
      </c>
      <c r="J7" s="20" t="s">
        <v>499</v>
      </c>
      <c r="K7" s="32" t="s">
        <v>18</v>
      </c>
      <c r="L7" s="28"/>
      <c r="M7" s="20" t="s">
        <v>507</v>
      </c>
      <c r="N7" s="29" cm="1">
        <f t="array" ref="N7">-SUMPRODUCT((B$2:B$167=B7)*((C$2:C$167&lt;C7)+(C$2:C$167=C7)*(ROW(G$2:G$167)&lt;=ROW(G7)))*G$2:G$167)</f>
        <v>29006.578458555501</v>
      </c>
      <c r="O7" s="29" cm="1">
        <f t="array" ref="O7">-SUMPRODUCT((B$2:B$167=B7)*((C$2:C$167&lt;C7)+(C$2:C$167=C7)*(ROW(I$2:I$167)&lt;=ROW(I7)))*I$2:I$167)</f>
        <v>598406</v>
      </c>
      <c r="P7" s="29">
        <f>ROUND(テーブル10[[#This Row],[為替レート]]*テーブル10[[#This Row],[元残高]],0)</f>
        <v>598406</v>
      </c>
      <c r="Q7" s="42">
        <f>テーブル10[[#This Row],[円残高]]-テーブル10[[#This Row],[円残高_時価]]</f>
        <v>0</v>
      </c>
    </row>
    <row r="8" spans="1:17" ht="18" customHeight="1" x14ac:dyDescent="0.25">
      <c r="A8" s="20" t="s">
        <v>107</v>
      </c>
      <c r="B8" s="20" t="s">
        <v>152</v>
      </c>
      <c r="C8" s="21">
        <v>45140</v>
      </c>
      <c r="D8" s="36" t="s">
        <v>29</v>
      </c>
      <c r="E8" s="20"/>
      <c r="F8" s="20" t="s">
        <v>1</v>
      </c>
      <c r="G8" s="25">
        <v>18.600000000000001</v>
      </c>
      <c r="H8" s="11">
        <v>20.63</v>
      </c>
      <c r="I8" s="24">
        <f>ROUND(テーブル10[[#This Row],[元金額]]*テーブル10[[#This Row],[為替レート]],0)</f>
        <v>384</v>
      </c>
      <c r="J8" s="20" t="s">
        <v>499</v>
      </c>
      <c r="K8" s="32" t="s">
        <v>18</v>
      </c>
      <c r="L8" s="28"/>
      <c r="M8" s="20" t="s">
        <v>508</v>
      </c>
      <c r="N8" s="29" cm="1">
        <f t="array" ref="N8">-SUMPRODUCT((B$2:B$167=B8)*((C$2:C$167&lt;C8)+(C$2:C$167=C8)*(ROW(G$2:G$167)&lt;=ROW(G8)))*G$2:G$167)</f>
        <v>28987.978458555503</v>
      </c>
      <c r="O8" s="29" cm="1">
        <f t="array" ref="O8">-SUMPRODUCT((B$2:B$167=B8)*((C$2:C$167&lt;C8)+(C$2:C$167=C8)*(ROW(I$2:I$167)&lt;=ROW(I8)))*I$2:I$167)</f>
        <v>598022</v>
      </c>
      <c r="P8" s="29">
        <f>ROUND(テーブル10[[#This Row],[為替レート]]*テーブル10[[#This Row],[元残高]],0)</f>
        <v>598022</v>
      </c>
      <c r="Q8" s="42">
        <f>テーブル10[[#This Row],[円残高]]-テーブル10[[#This Row],[円残高_時価]]</f>
        <v>0</v>
      </c>
    </row>
    <row r="9" spans="1:17" ht="18" customHeight="1" x14ac:dyDescent="0.25">
      <c r="A9" s="20" t="s">
        <v>107</v>
      </c>
      <c r="B9" s="20" t="s">
        <v>152</v>
      </c>
      <c r="C9" s="21">
        <v>45140</v>
      </c>
      <c r="D9" s="36" t="s">
        <v>29</v>
      </c>
      <c r="E9" s="20"/>
      <c r="F9" s="20" t="s">
        <v>1</v>
      </c>
      <c r="G9" s="25">
        <v>34.799999999999997</v>
      </c>
      <c r="H9" s="11">
        <v>20.63</v>
      </c>
      <c r="I9" s="24">
        <f>ROUND(テーブル10[[#This Row],[元金額]]*テーブル10[[#This Row],[為替レート]],0)</f>
        <v>718</v>
      </c>
      <c r="J9" s="20" t="s">
        <v>499</v>
      </c>
      <c r="K9" s="32" t="s">
        <v>18</v>
      </c>
      <c r="L9" s="28"/>
      <c r="M9" s="20" t="s">
        <v>509</v>
      </c>
      <c r="N9" s="29" cm="1">
        <f t="array" ref="N9">-SUMPRODUCT((B$2:B$167=B9)*((C$2:C$167&lt;C9)+(C$2:C$167=C9)*(ROW(G$2:G$167)&lt;=ROW(G9)))*G$2:G$167)</f>
        <v>28953.178458555503</v>
      </c>
      <c r="O9" s="29" cm="1">
        <f t="array" ref="O9">-SUMPRODUCT((B$2:B$167=B9)*((C$2:C$167&lt;C9)+(C$2:C$167=C9)*(ROW(I$2:I$167)&lt;=ROW(I9)))*I$2:I$167)</f>
        <v>597304</v>
      </c>
      <c r="P9" s="29">
        <f>ROUND(テーブル10[[#This Row],[為替レート]]*テーブル10[[#This Row],[元残高]],0)</f>
        <v>597304</v>
      </c>
      <c r="Q9" s="42">
        <f>テーブル10[[#This Row],[円残高]]-テーブル10[[#This Row],[円残高_時価]]</f>
        <v>0</v>
      </c>
    </row>
    <row r="10" spans="1:17" ht="18" customHeight="1" x14ac:dyDescent="0.25">
      <c r="A10" s="20" t="s">
        <v>107</v>
      </c>
      <c r="B10" s="20" t="s">
        <v>152</v>
      </c>
      <c r="C10" s="21">
        <v>45140</v>
      </c>
      <c r="D10" s="36" t="s">
        <v>29</v>
      </c>
      <c r="E10" s="20"/>
      <c r="F10" s="20" t="s">
        <v>1</v>
      </c>
      <c r="G10" s="44">
        <v>18.98</v>
      </c>
      <c r="H10" s="11">
        <v>20.63</v>
      </c>
      <c r="I10" s="24">
        <f>ROUND(テーブル10[[#This Row],[元金額]]*テーブル10[[#This Row],[為替レート]],0)</f>
        <v>392</v>
      </c>
      <c r="J10" s="20" t="s">
        <v>499</v>
      </c>
      <c r="K10" s="32" t="s">
        <v>18</v>
      </c>
      <c r="L10" s="28"/>
      <c r="M10" s="20" t="s">
        <v>510</v>
      </c>
      <c r="N10" s="29" cm="1">
        <f t="array" ref="N10">-SUMPRODUCT((B$2:B$167=B10)*((C$2:C$167&lt;C10)+(C$2:C$167=C10)*(ROW(G$2:G$167)&lt;=ROW(G10)))*G$2:G$167)</f>
        <v>28934.198458555504</v>
      </c>
      <c r="O10" s="29" cm="1">
        <f t="array" ref="O10">-SUMPRODUCT((B$2:B$167=B10)*((C$2:C$167&lt;C10)+(C$2:C$167=C10)*(ROW(I$2:I$167)&lt;=ROW(I10)))*I$2:I$167)</f>
        <v>596912</v>
      </c>
      <c r="P10" s="29">
        <f>ROUND(テーブル10[[#This Row],[為替レート]]*テーブル10[[#This Row],[元残高]],0)</f>
        <v>596913</v>
      </c>
      <c r="Q10" s="42">
        <f>テーブル10[[#This Row],[円残高]]-テーブル10[[#This Row],[円残高_時価]]</f>
        <v>-1</v>
      </c>
    </row>
    <row r="11" spans="1:17" ht="18" customHeight="1" x14ac:dyDescent="0.25">
      <c r="A11" s="20" t="s">
        <v>107</v>
      </c>
      <c r="B11" s="20" t="s">
        <v>152</v>
      </c>
      <c r="C11" s="21">
        <v>45140</v>
      </c>
      <c r="D11" s="36" t="s">
        <v>29</v>
      </c>
      <c r="E11" s="20"/>
      <c r="F11" s="20" t="s">
        <v>1</v>
      </c>
      <c r="G11" s="25">
        <v>12.8</v>
      </c>
      <c r="H11" s="11">
        <v>20.63</v>
      </c>
      <c r="I11" s="24">
        <f>ROUND(テーブル10[[#This Row],[元金額]]*テーブル10[[#This Row],[為替レート]],0)</f>
        <v>264</v>
      </c>
      <c r="J11" s="20" t="s">
        <v>499</v>
      </c>
      <c r="K11" s="32" t="s">
        <v>18</v>
      </c>
      <c r="L11" s="28"/>
      <c r="M11" s="20" t="s">
        <v>511</v>
      </c>
      <c r="N11" s="29" cm="1">
        <f t="array" ref="N11">-SUMPRODUCT((B$2:B$167=B11)*((C$2:C$167&lt;C11)+(C$2:C$167=C11)*(ROW(G$2:G$167)&lt;=ROW(G11)))*G$2:G$167)</f>
        <v>28921.398458555504</v>
      </c>
      <c r="O11" s="29" cm="1">
        <f t="array" ref="O11">-SUMPRODUCT((B$2:B$167=B11)*((C$2:C$167&lt;C11)+(C$2:C$167=C11)*(ROW(I$2:I$167)&lt;=ROW(I11)))*I$2:I$167)</f>
        <v>596648</v>
      </c>
      <c r="P11" s="29">
        <f>ROUND(テーブル10[[#This Row],[為替レート]]*テーブル10[[#This Row],[元残高]],0)</f>
        <v>596648</v>
      </c>
      <c r="Q11" s="42">
        <f>テーブル10[[#This Row],[円残高]]-テーブル10[[#This Row],[円残高_時価]]</f>
        <v>0</v>
      </c>
    </row>
    <row r="12" spans="1:17" ht="18" customHeight="1" x14ac:dyDescent="0.25">
      <c r="A12" s="20" t="s">
        <v>107</v>
      </c>
      <c r="B12" s="20" t="s">
        <v>152</v>
      </c>
      <c r="C12" s="21">
        <v>45140</v>
      </c>
      <c r="D12" s="36" t="s">
        <v>29</v>
      </c>
      <c r="E12" s="20"/>
      <c r="F12" s="20" t="s">
        <v>1</v>
      </c>
      <c r="G12" s="44">
        <v>18.98</v>
      </c>
      <c r="H12" s="11">
        <v>20.63</v>
      </c>
      <c r="I12" s="24">
        <f>ROUND(テーブル10[[#This Row],[元金額]]*テーブル10[[#This Row],[為替レート]],0)</f>
        <v>392</v>
      </c>
      <c r="J12" s="20" t="s">
        <v>499</v>
      </c>
      <c r="K12" s="32" t="s">
        <v>18</v>
      </c>
      <c r="L12" s="28"/>
      <c r="M12" s="20" t="s">
        <v>512</v>
      </c>
      <c r="N12" s="29" cm="1">
        <f t="array" ref="N12">-SUMPRODUCT((B$2:B$167=B12)*((C$2:C$167&lt;C12)+(C$2:C$167=C12)*(ROW(G$2:G$167)&lt;=ROW(G12)))*G$2:G$167)</f>
        <v>28902.418458555505</v>
      </c>
      <c r="O12" s="29" cm="1">
        <f t="array" ref="O12">-SUMPRODUCT((B$2:B$167=B12)*((C$2:C$167&lt;C12)+(C$2:C$167=C12)*(ROW(I$2:I$167)&lt;=ROW(I12)))*I$2:I$167)</f>
        <v>596256</v>
      </c>
      <c r="P12" s="29">
        <f>ROUND(テーブル10[[#This Row],[為替レート]]*テーブル10[[#This Row],[元残高]],0)</f>
        <v>596257</v>
      </c>
      <c r="Q12" s="42">
        <f>テーブル10[[#This Row],[円残高]]-テーブル10[[#This Row],[円残高_時価]]</f>
        <v>-1</v>
      </c>
    </row>
    <row r="13" spans="1:17" ht="18" customHeight="1" x14ac:dyDescent="0.25">
      <c r="A13" s="20" t="s">
        <v>107</v>
      </c>
      <c r="B13" s="20" t="s">
        <v>152</v>
      </c>
      <c r="C13" s="21">
        <v>45145</v>
      </c>
      <c r="D13" s="36" t="s">
        <v>29</v>
      </c>
      <c r="E13" s="20"/>
      <c r="F13" s="20" t="s">
        <v>1</v>
      </c>
      <c r="G13" s="25">
        <v>17</v>
      </c>
      <c r="H13" s="11">
        <v>20.63</v>
      </c>
      <c r="I13" s="23">
        <f>ROUND(テーブル10[[#This Row],[元金額]]*テーブル10[[#This Row],[為替レート]],0)</f>
        <v>351</v>
      </c>
      <c r="J13" s="20" t="s">
        <v>499</v>
      </c>
      <c r="K13" s="32" t="s">
        <v>18</v>
      </c>
      <c r="L13" s="28"/>
      <c r="M13" s="20" t="s">
        <v>505</v>
      </c>
      <c r="N13" s="29" cm="1">
        <f t="array" ref="N13">-SUMPRODUCT((B$2:B$167=B13)*((C$2:C$167&lt;C13)+(C$2:C$167=C13)*(ROW(G$2:G$167)&lt;=ROW(G13)))*G$2:G$167)</f>
        <v>28885.418458555505</v>
      </c>
      <c r="O13" s="29" cm="1">
        <f t="array" ref="O13">-SUMPRODUCT((B$2:B$167=B13)*((C$2:C$167&lt;C13)+(C$2:C$167=C13)*(ROW(I$2:I$167)&lt;=ROW(I13)))*I$2:I$167)</f>
        <v>595905</v>
      </c>
      <c r="P13" s="29">
        <f>ROUND(テーブル10[[#This Row],[為替レート]]*テーブル10[[#This Row],[元残高]],0)</f>
        <v>595906</v>
      </c>
      <c r="Q13" s="42">
        <f>テーブル10[[#This Row],[円残高]]-テーブル10[[#This Row],[円残高_時価]]</f>
        <v>-1</v>
      </c>
    </row>
    <row r="14" spans="1:17" ht="18" customHeight="1" x14ac:dyDescent="0.25">
      <c r="A14" s="20" t="s">
        <v>107</v>
      </c>
      <c r="B14" s="20" t="s">
        <v>152</v>
      </c>
      <c r="C14" s="21">
        <v>45184</v>
      </c>
      <c r="D14" s="36" t="s">
        <v>29</v>
      </c>
      <c r="E14" s="20"/>
      <c r="F14" s="20" t="s">
        <v>1</v>
      </c>
      <c r="G14" s="25">
        <v>116</v>
      </c>
      <c r="H14" s="11">
        <v>20.63</v>
      </c>
      <c r="I14" s="24">
        <f>ROUND(テーブル10[[#This Row],[元金額]]*テーブル10[[#This Row],[為替レート]],0)</f>
        <v>2393</v>
      </c>
      <c r="J14" s="20" t="s">
        <v>498</v>
      </c>
      <c r="K14" s="32" t="s">
        <v>529</v>
      </c>
      <c r="L14" s="27"/>
      <c r="M14" s="33" t="s">
        <v>535</v>
      </c>
      <c r="N14" s="29" cm="1">
        <f t="array" ref="N14">-SUMPRODUCT((B$2:B$167=B14)*((C$2:C$167&lt;C14)+(C$2:C$167=C14)*(ROW(G$2:G$167)&lt;=ROW(G14)))*G$2:G$167)</f>
        <v>28769.418458555505</v>
      </c>
      <c r="O14" s="29" cm="1">
        <f t="array" ref="O14">-SUMPRODUCT((B$2:B$167=B14)*((C$2:C$167&lt;C14)+(C$2:C$167=C14)*(ROW(I$2:I$167)&lt;=ROW(I14)))*I$2:I$167)</f>
        <v>593512</v>
      </c>
      <c r="P14" s="29">
        <f>ROUND(テーブル10[[#This Row],[為替レート]]*テーブル10[[#This Row],[元残高]],0)</f>
        <v>593513</v>
      </c>
      <c r="Q14" s="42">
        <f>テーブル10[[#This Row],[円残高]]-テーブル10[[#This Row],[円残高_時価]]</f>
        <v>-1</v>
      </c>
    </row>
    <row r="15" spans="1:17" ht="18" customHeight="1" x14ac:dyDescent="0.25">
      <c r="A15" s="20" t="s">
        <v>107</v>
      </c>
      <c r="B15" s="20" t="s">
        <v>152</v>
      </c>
      <c r="C15" s="21">
        <v>45245</v>
      </c>
      <c r="D15" s="36" t="s">
        <v>29</v>
      </c>
      <c r="E15" s="20"/>
      <c r="F15" s="20" t="s">
        <v>1</v>
      </c>
      <c r="G15" s="25">
        <v>125</v>
      </c>
      <c r="H15" s="11">
        <v>20.63</v>
      </c>
      <c r="I15" s="24">
        <f>ROUND(テーブル10[[#This Row],[元金額]]*テーブル10[[#This Row],[為替レート]],0)</f>
        <v>2579</v>
      </c>
      <c r="J15" s="20" t="s">
        <v>499</v>
      </c>
      <c r="K15" s="32" t="s">
        <v>39</v>
      </c>
      <c r="L15" s="28"/>
      <c r="M15" s="20" t="s">
        <v>513</v>
      </c>
      <c r="N15" s="29" cm="1">
        <f t="array" ref="N15">-SUMPRODUCT((B$2:B$167=B15)*((C$2:C$167&lt;C15)+(C$2:C$167=C15)*(ROW(G$2:G$167)&lt;=ROW(G15)))*G$2:G$167)</f>
        <v>28644.418458555505</v>
      </c>
      <c r="O15" s="29" cm="1">
        <f t="array" ref="O15">-SUMPRODUCT((B$2:B$167=B15)*((C$2:C$167&lt;C15)+(C$2:C$167=C15)*(ROW(I$2:I$167)&lt;=ROW(I15)))*I$2:I$167)</f>
        <v>590933</v>
      </c>
      <c r="P15" s="29">
        <f>ROUND(テーブル10[[#This Row],[為替レート]]*テーブル10[[#This Row],[元残高]],0)</f>
        <v>590934</v>
      </c>
      <c r="Q15" s="42">
        <f>テーブル10[[#This Row],[円残高]]-テーブル10[[#This Row],[円残高_時価]]</f>
        <v>-1</v>
      </c>
    </row>
    <row r="16" spans="1:17" ht="18" customHeight="1" x14ac:dyDescent="0.25">
      <c r="A16" s="20" t="s">
        <v>107</v>
      </c>
      <c r="B16" s="20" t="s">
        <v>152</v>
      </c>
      <c r="C16" s="21">
        <v>45275</v>
      </c>
      <c r="D16" s="36" t="s">
        <v>29</v>
      </c>
      <c r="E16" s="20"/>
      <c r="F16" s="20" t="s">
        <v>1</v>
      </c>
      <c r="G16" s="25">
        <v>200</v>
      </c>
      <c r="H16" s="11">
        <v>20.63</v>
      </c>
      <c r="I16" s="24">
        <f>ROUND(テーブル10[[#This Row],[元金額]]*テーブル10[[#This Row],[為替レート]],0)</f>
        <v>4126</v>
      </c>
      <c r="J16" s="20" t="s">
        <v>499</v>
      </c>
      <c r="K16" s="32" t="s">
        <v>493</v>
      </c>
      <c r="L16" s="17"/>
      <c r="M16" s="20" t="s">
        <v>514</v>
      </c>
      <c r="N16" s="29" cm="1">
        <f t="array" ref="N16">-SUMPRODUCT((B$2:B$167=B16)*((C$2:C$167&lt;C16)+(C$2:C$167=C16)*(ROW(G$2:G$167)&lt;=ROW(G16)))*G$2:G$167)</f>
        <v>28444.418458555505</v>
      </c>
      <c r="O16" s="29" cm="1">
        <f t="array" ref="O16">-SUMPRODUCT((B$2:B$167=B16)*((C$2:C$167&lt;C16)+(C$2:C$167=C16)*(ROW(I$2:I$167)&lt;=ROW(I16)))*I$2:I$167)</f>
        <v>586807</v>
      </c>
      <c r="P16" s="29">
        <f>ROUND(テーブル10[[#This Row],[為替レート]]*テーブル10[[#This Row],[元残高]],0)</f>
        <v>586808</v>
      </c>
      <c r="Q16" s="42">
        <f>テーブル10[[#This Row],[円残高]]-テーブル10[[#This Row],[円残高_時価]]</f>
        <v>-1</v>
      </c>
    </row>
    <row r="17" spans="1:17" ht="18" customHeight="1" x14ac:dyDescent="0.25">
      <c r="A17" s="20" t="s">
        <v>107</v>
      </c>
      <c r="B17" s="20" t="s">
        <v>152</v>
      </c>
      <c r="C17" s="21">
        <v>45275</v>
      </c>
      <c r="D17" s="36" t="s">
        <v>29</v>
      </c>
      <c r="E17" s="20"/>
      <c r="F17" s="20" t="s">
        <v>1</v>
      </c>
      <c r="G17" s="25">
        <v>13</v>
      </c>
      <c r="H17" s="11">
        <v>20.63</v>
      </c>
      <c r="I17" s="24">
        <f>ROUND(テーブル10[[#This Row],[元金額]]*テーブル10[[#This Row],[為替レート]],0)</f>
        <v>268</v>
      </c>
      <c r="J17" s="20" t="s">
        <v>499</v>
      </c>
      <c r="K17" s="32" t="s">
        <v>493</v>
      </c>
      <c r="L17" s="17"/>
      <c r="M17" s="20" t="s">
        <v>515</v>
      </c>
      <c r="N17" s="29" cm="1">
        <f t="array" ref="N17">-SUMPRODUCT((B$2:B$167=B17)*((C$2:C$167&lt;C17)+(C$2:C$167=C17)*(ROW(G$2:G$167)&lt;=ROW(G17)))*G$2:G$167)</f>
        <v>28431.418458555505</v>
      </c>
      <c r="O17" s="29" cm="1">
        <f t="array" ref="O17">-SUMPRODUCT((B$2:B$167=B17)*((C$2:C$167&lt;C17)+(C$2:C$167=C17)*(ROW(I$2:I$167)&lt;=ROW(I17)))*I$2:I$167)</f>
        <v>586539</v>
      </c>
      <c r="P17" s="29">
        <f>ROUND(テーブル10[[#This Row],[為替レート]]*テーブル10[[#This Row],[元残高]],0)</f>
        <v>586540</v>
      </c>
      <c r="Q17" s="42">
        <f>テーブル10[[#This Row],[円残高]]-テーブル10[[#This Row],[円残高_時価]]</f>
        <v>-1</v>
      </c>
    </row>
    <row r="18" spans="1:17" ht="18" customHeight="1" x14ac:dyDescent="0.25">
      <c r="A18" s="20" t="s">
        <v>107</v>
      </c>
      <c r="B18" s="20" t="s">
        <v>152</v>
      </c>
      <c r="C18" s="21">
        <v>45291</v>
      </c>
      <c r="D18" s="37" t="s">
        <v>501</v>
      </c>
      <c r="E18" s="21"/>
      <c r="F18" s="20" t="s">
        <v>1</v>
      </c>
      <c r="G18" s="25"/>
      <c r="H18" s="41">
        <v>20.63</v>
      </c>
      <c r="I18" s="24">
        <v>-1</v>
      </c>
      <c r="J18" s="35"/>
      <c r="K18" s="32"/>
      <c r="L18" s="24"/>
      <c r="M18" s="40" t="s">
        <v>592</v>
      </c>
      <c r="N18" s="29" cm="1">
        <f t="array" ref="N18">-SUMPRODUCT((B$2:B$167=B18)*((C$2:C$167&lt;C18)+(C$2:C$167=C18)*(ROW(G$2:G$167)&lt;=ROW(G18)))*G$2:G$167)</f>
        <v>28431.418458555505</v>
      </c>
      <c r="O18" s="29" cm="1">
        <f t="array" ref="O18">-SUMPRODUCT((B$2:B$167=B18)*((C$2:C$167&lt;C18)+(C$2:C$167=C18)*(ROW(I$2:I$167)&lt;=ROW(I18)))*I$2:I$167)</f>
        <v>586540</v>
      </c>
      <c r="P18" s="29">
        <f>ROUND(テーブル10[[#This Row],[為替レート]]*テーブル10[[#This Row],[元残高]],0)</f>
        <v>586540</v>
      </c>
      <c r="Q18" s="42">
        <f>テーブル10[[#This Row],[円残高]]-テーブル10[[#This Row],[円残高_時価]]</f>
        <v>0</v>
      </c>
    </row>
    <row r="19" spans="1:17" ht="18" customHeight="1" x14ac:dyDescent="0.25">
      <c r="A19" s="20" t="s">
        <v>107</v>
      </c>
      <c r="B19" s="20" t="s">
        <v>152</v>
      </c>
      <c r="C19" s="21">
        <v>45308</v>
      </c>
      <c r="D19" s="36" t="s">
        <v>4</v>
      </c>
      <c r="E19" s="20" t="s">
        <v>50</v>
      </c>
      <c r="F19" s="20" t="s">
        <v>1</v>
      </c>
      <c r="G19" s="25">
        <v>125</v>
      </c>
      <c r="H19" s="11">
        <v>20.63</v>
      </c>
      <c r="I19" s="24">
        <f>ROUND(テーブル10[[#This Row],[元金額]]*テーブル10[[#This Row],[為替レート]],0)</f>
        <v>2579</v>
      </c>
      <c r="J19" s="20" t="s">
        <v>499</v>
      </c>
      <c r="K19" s="32" t="s">
        <v>16</v>
      </c>
      <c r="L19" s="28"/>
      <c r="M19" s="20" t="s">
        <v>516</v>
      </c>
      <c r="N19" s="29" cm="1">
        <f t="array" ref="N19">-SUMPRODUCT((B$2:B$167=B19)*((C$2:C$167&lt;C19)+(C$2:C$167=C19)*(ROW(G$2:G$167)&lt;=ROW(G19)))*G$2:G$167)</f>
        <v>28306.418458555505</v>
      </c>
      <c r="O19" s="29" cm="1">
        <f t="array" ref="O19">-SUMPRODUCT((B$2:B$167=B19)*((C$2:C$167&lt;C19)+(C$2:C$167=C19)*(ROW(I$2:I$167)&lt;=ROW(I19)))*I$2:I$167)</f>
        <v>583961</v>
      </c>
      <c r="P19" s="29">
        <f>ROUND(テーブル10[[#This Row],[為替レート]]*テーブル10[[#This Row],[元残高]],0)</f>
        <v>583961</v>
      </c>
      <c r="Q19" s="42">
        <f>テーブル10[[#This Row],[円残高]]-テーブル10[[#This Row],[円残高_時価]]</f>
        <v>0</v>
      </c>
    </row>
    <row r="20" spans="1:17" ht="18" customHeight="1" x14ac:dyDescent="0.25">
      <c r="A20" s="20" t="s">
        <v>107</v>
      </c>
      <c r="B20" s="20" t="s">
        <v>152</v>
      </c>
      <c r="C20" s="21">
        <v>45363</v>
      </c>
      <c r="D20" s="36" t="s">
        <v>29</v>
      </c>
      <c r="E20" s="20"/>
      <c r="F20" s="20" t="s">
        <v>1</v>
      </c>
      <c r="G20" s="25">
        <v>39</v>
      </c>
      <c r="H20" s="11">
        <v>20.63</v>
      </c>
      <c r="I20" s="24">
        <f>ROUND(テーブル10[[#This Row],[元金額]]*テーブル10[[#This Row],[為替レート]],0)</f>
        <v>805</v>
      </c>
      <c r="J20" s="20" t="s">
        <v>499</v>
      </c>
      <c r="K20" s="32" t="s">
        <v>494</v>
      </c>
      <c r="L20" s="17"/>
      <c r="M20" s="20" t="s">
        <v>517</v>
      </c>
      <c r="N20" s="29" cm="1">
        <f t="array" ref="N20">-SUMPRODUCT((B$2:B$167=B20)*((C$2:C$167&lt;C20)+(C$2:C$167=C20)*(ROW(G$2:G$167)&lt;=ROW(G20)))*G$2:G$167)</f>
        <v>28267.418458555505</v>
      </c>
      <c r="O20" s="29" cm="1">
        <f t="array" ref="O20">-SUMPRODUCT((B$2:B$167=B20)*((C$2:C$167&lt;C20)+(C$2:C$167=C20)*(ROW(I$2:I$167)&lt;=ROW(I20)))*I$2:I$167)</f>
        <v>583156</v>
      </c>
      <c r="P20" s="29">
        <f>ROUND(テーブル10[[#This Row],[為替レート]]*テーブル10[[#This Row],[元残高]],0)</f>
        <v>583157</v>
      </c>
      <c r="Q20" s="42">
        <f>テーブル10[[#This Row],[円残高]]-テーブル10[[#This Row],[円残高_時価]]</f>
        <v>-1</v>
      </c>
    </row>
    <row r="21" spans="1:17" ht="18" customHeight="1" x14ac:dyDescent="0.25">
      <c r="A21" s="20" t="s">
        <v>107</v>
      </c>
      <c r="B21" s="20" t="s">
        <v>152</v>
      </c>
      <c r="C21" s="21">
        <v>45363</v>
      </c>
      <c r="D21" s="36" t="s">
        <v>29</v>
      </c>
      <c r="E21" s="20"/>
      <c r="F21" s="20" t="s">
        <v>1</v>
      </c>
      <c r="G21" s="25">
        <v>6.4</v>
      </c>
      <c r="H21" s="11">
        <v>20.63</v>
      </c>
      <c r="I21" s="24">
        <f>ROUND(テーブル10[[#This Row],[元金額]]*テーブル10[[#This Row],[為替レート]],0)</f>
        <v>132</v>
      </c>
      <c r="J21" s="20" t="s">
        <v>499</v>
      </c>
      <c r="K21" s="32" t="s">
        <v>17</v>
      </c>
      <c r="L21" s="11"/>
      <c r="M21" s="20" t="s">
        <v>518</v>
      </c>
      <c r="N21" s="29" cm="1">
        <f t="array" ref="N21">-SUMPRODUCT((B$2:B$167=B21)*((C$2:C$167&lt;C21)+(C$2:C$167=C21)*(ROW(G$2:G$167)&lt;=ROW(G21)))*G$2:G$167)</f>
        <v>28261.018458555503</v>
      </c>
      <c r="O21" s="29" cm="1">
        <f t="array" ref="O21">-SUMPRODUCT((B$2:B$167=B21)*((C$2:C$167&lt;C21)+(C$2:C$167=C21)*(ROW(I$2:I$167)&lt;=ROW(I21)))*I$2:I$167)</f>
        <v>583024</v>
      </c>
      <c r="P21" s="29">
        <f>ROUND(テーブル10[[#This Row],[為替レート]]*テーブル10[[#This Row],[元残高]],0)</f>
        <v>583025</v>
      </c>
      <c r="Q21" s="42">
        <f>テーブル10[[#This Row],[円残高]]-テーブル10[[#This Row],[円残高_時価]]</f>
        <v>-1</v>
      </c>
    </row>
    <row r="22" spans="1:17" ht="18" customHeight="1" x14ac:dyDescent="0.25">
      <c r="A22" s="20" t="s">
        <v>107</v>
      </c>
      <c r="B22" s="20" t="s">
        <v>152</v>
      </c>
      <c r="C22" s="21">
        <v>45363</v>
      </c>
      <c r="D22" s="36" t="s">
        <v>29</v>
      </c>
      <c r="E22" s="20"/>
      <c r="F22" s="20" t="s">
        <v>1</v>
      </c>
      <c r="G22" s="25">
        <v>8</v>
      </c>
      <c r="H22" s="11">
        <v>20.63</v>
      </c>
      <c r="I22" s="24">
        <f>ROUND(テーブル10[[#This Row],[元金額]]*テーブル10[[#This Row],[為替レート]],0)</f>
        <v>165</v>
      </c>
      <c r="J22" s="20" t="s">
        <v>499</v>
      </c>
      <c r="K22" s="32" t="s">
        <v>17</v>
      </c>
      <c r="L22" s="11"/>
      <c r="M22" s="20" t="s">
        <v>519</v>
      </c>
      <c r="N22" s="29" cm="1">
        <f t="array" ref="N22">-SUMPRODUCT((B$2:B$167=B22)*((C$2:C$167&lt;C22)+(C$2:C$167=C22)*(ROW(G$2:G$167)&lt;=ROW(G22)))*G$2:G$167)</f>
        <v>28253.018458555503</v>
      </c>
      <c r="O22" s="29" cm="1">
        <f t="array" ref="O22">-SUMPRODUCT((B$2:B$167=B22)*((C$2:C$167&lt;C22)+(C$2:C$167=C22)*(ROW(I$2:I$167)&lt;=ROW(I22)))*I$2:I$167)</f>
        <v>582859</v>
      </c>
      <c r="P22" s="29">
        <f>ROUND(テーブル10[[#This Row],[為替レート]]*テーブル10[[#This Row],[元残高]],0)</f>
        <v>582860</v>
      </c>
      <c r="Q22" s="42">
        <f>テーブル10[[#This Row],[円残高]]-テーブル10[[#This Row],[円残高_時価]]</f>
        <v>-1</v>
      </c>
    </row>
    <row r="23" spans="1:17" ht="18" customHeight="1" x14ac:dyDescent="0.25">
      <c r="A23" s="20" t="s">
        <v>107</v>
      </c>
      <c r="B23" s="20" t="s">
        <v>152</v>
      </c>
      <c r="C23" s="21">
        <v>45363</v>
      </c>
      <c r="D23" s="36" t="s">
        <v>29</v>
      </c>
      <c r="E23" s="20"/>
      <c r="F23" s="20" t="s">
        <v>1</v>
      </c>
      <c r="G23" s="25">
        <v>82</v>
      </c>
      <c r="H23" s="11">
        <v>20.63</v>
      </c>
      <c r="I23" s="24">
        <f>ROUND(テーブル10[[#This Row],[元金額]]*テーブル10[[#This Row],[為替レート]],0)</f>
        <v>1692</v>
      </c>
      <c r="J23" s="20" t="s">
        <v>499</v>
      </c>
      <c r="K23" s="32" t="s">
        <v>17</v>
      </c>
      <c r="L23" s="11"/>
      <c r="M23" s="20" t="s">
        <v>520</v>
      </c>
      <c r="N23" s="29" cm="1">
        <f t="array" ref="N23">-SUMPRODUCT((B$2:B$167=B23)*((C$2:C$167&lt;C23)+(C$2:C$167=C23)*(ROW(G$2:G$167)&lt;=ROW(G23)))*G$2:G$167)</f>
        <v>28171.018458555503</v>
      </c>
      <c r="O23" s="29" cm="1">
        <f t="array" ref="O23">-SUMPRODUCT((B$2:B$167=B23)*((C$2:C$167&lt;C23)+(C$2:C$167=C23)*(ROW(I$2:I$167)&lt;=ROW(I23)))*I$2:I$167)</f>
        <v>581167</v>
      </c>
      <c r="P23" s="29">
        <f>ROUND(テーブル10[[#This Row],[為替レート]]*テーブル10[[#This Row],[元残高]],0)</f>
        <v>581168</v>
      </c>
      <c r="Q23" s="42">
        <f>テーブル10[[#This Row],[円残高]]-テーブル10[[#This Row],[円残高_時価]]</f>
        <v>-1</v>
      </c>
    </row>
    <row r="24" spans="1:17" ht="18" customHeight="1" x14ac:dyDescent="0.25">
      <c r="A24" s="20" t="s">
        <v>107</v>
      </c>
      <c r="B24" s="20" t="s">
        <v>152</v>
      </c>
      <c r="C24" s="21">
        <v>45363</v>
      </c>
      <c r="D24" s="36" t="s">
        <v>29</v>
      </c>
      <c r="E24" s="20"/>
      <c r="F24" s="20" t="s">
        <v>1</v>
      </c>
      <c r="G24" s="25">
        <v>7.2</v>
      </c>
      <c r="H24" s="11">
        <v>20.63</v>
      </c>
      <c r="I24" s="24">
        <f>ROUND(テーブル10[[#This Row],[元金額]]*テーブル10[[#This Row],[為替レート]],0)</f>
        <v>149</v>
      </c>
      <c r="J24" s="20" t="s">
        <v>499</v>
      </c>
      <c r="K24" s="32" t="s">
        <v>17</v>
      </c>
      <c r="L24" s="17"/>
      <c r="M24" s="20" t="s">
        <v>521</v>
      </c>
      <c r="N24" s="29" cm="1">
        <f t="array" ref="N24">-SUMPRODUCT((B$2:B$167=B24)*((C$2:C$167&lt;C24)+(C$2:C$167=C24)*(ROW(G$2:G$167)&lt;=ROW(G24)))*G$2:G$167)</f>
        <v>28163.818458555503</v>
      </c>
      <c r="O24" s="29" cm="1">
        <f t="array" ref="O24">-SUMPRODUCT((B$2:B$167=B24)*((C$2:C$167&lt;C24)+(C$2:C$167=C24)*(ROW(I$2:I$167)&lt;=ROW(I24)))*I$2:I$167)</f>
        <v>581018</v>
      </c>
      <c r="P24" s="29">
        <f>ROUND(テーブル10[[#This Row],[為替レート]]*テーブル10[[#This Row],[元残高]],0)</f>
        <v>581020</v>
      </c>
      <c r="Q24" s="42">
        <f>テーブル10[[#This Row],[円残高]]-テーブル10[[#This Row],[円残高_時価]]</f>
        <v>-2</v>
      </c>
    </row>
    <row r="25" spans="1:17" ht="18" customHeight="1" x14ac:dyDescent="0.25">
      <c r="A25" s="20" t="s">
        <v>107</v>
      </c>
      <c r="B25" s="20" t="s">
        <v>152</v>
      </c>
      <c r="C25" s="21">
        <v>45363</v>
      </c>
      <c r="D25" s="36" t="s">
        <v>29</v>
      </c>
      <c r="E25" s="20"/>
      <c r="F25" s="20" t="s">
        <v>1</v>
      </c>
      <c r="G25" s="25">
        <v>215</v>
      </c>
      <c r="H25" s="11">
        <v>20.63</v>
      </c>
      <c r="I25" s="24">
        <f>ROUND(テーブル10[[#This Row],[元金額]]*テーブル10[[#This Row],[為替レート]],0)</f>
        <v>4435</v>
      </c>
      <c r="J25" s="20" t="s">
        <v>499</v>
      </c>
      <c r="K25" s="32" t="s">
        <v>495</v>
      </c>
      <c r="L25" s="28"/>
      <c r="M25" s="20" t="s">
        <v>522</v>
      </c>
      <c r="N25" s="29" cm="1">
        <f t="array" ref="N25">-SUMPRODUCT((B$2:B$167=B25)*((C$2:C$167&lt;C25)+(C$2:C$167=C25)*(ROW(G$2:G$167)&lt;=ROW(G25)))*G$2:G$167)</f>
        <v>27948.818458555503</v>
      </c>
      <c r="O25" s="29" cm="1">
        <f t="array" ref="O25">-SUMPRODUCT((B$2:B$167=B25)*((C$2:C$167&lt;C25)+(C$2:C$167=C25)*(ROW(I$2:I$167)&lt;=ROW(I25)))*I$2:I$167)</f>
        <v>576583</v>
      </c>
      <c r="P25" s="29">
        <f>ROUND(テーブル10[[#This Row],[為替レート]]*テーブル10[[#This Row],[元残高]],0)</f>
        <v>576584</v>
      </c>
      <c r="Q25" s="42">
        <f>テーブル10[[#This Row],[円残高]]-テーブル10[[#This Row],[円残高_時価]]</f>
        <v>-1</v>
      </c>
    </row>
    <row r="26" spans="1:17" ht="18" customHeight="1" x14ac:dyDescent="0.25">
      <c r="A26" s="20" t="s">
        <v>107</v>
      </c>
      <c r="B26" s="20" t="s">
        <v>152</v>
      </c>
      <c r="C26" s="21">
        <v>45400</v>
      </c>
      <c r="D26" s="36" t="s">
        <v>29</v>
      </c>
      <c r="E26" s="20"/>
      <c r="F26" s="20" t="s">
        <v>1</v>
      </c>
      <c r="G26" s="25">
        <v>18</v>
      </c>
      <c r="H26" s="11">
        <v>20.63</v>
      </c>
      <c r="I26" s="24">
        <f>ROUND(テーブル10[[#This Row],[元金額]]*テーブル10[[#This Row],[為替レート]],0)</f>
        <v>371</v>
      </c>
      <c r="J26" s="20" t="s">
        <v>499</v>
      </c>
      <c r="K26" s="32" t="s">
        <v>495</v>
      </c>
      <c r="L26" s="28"/>
      <c r="M26" s="20" t="s">
        <v>523</v>
      </c>
      <c r="N26" s="29" cm="1">
        <f t="array" ref="N26">-SUMPRODUCT((B$2:B$167=B26)*((C$2:C$167&lt;C26)+(C$2:C$167=C26)*(ROW(G$2:G$167)&lt;=ROW(G26)))*G$2:G$167)</f>
        <v>27930.818458555503</v>
      </c>
      <c r="O26" s="29" cm="1">
        <f t="array" ref="O26">-SUMPRODUCT((B$2:B$167=B26)*((C$2:C$167&lt;C26)+(C$2:C$167=C26)*(ROW(I$2:I$167)&lt;=ROW(I26)))*I$2:I$167)</f>
        <v>576212</v>
      </c>
      <c r="P26" s="29">
        <f>ROUND(テーブル10[[#This Row],[為替レート]]*テーブル10[[#This Row],[元残高]],0)</f>
        <v>576213</v>
      </c>
      <c r="Q26" s="42">
        <f>テーブル10[[#This Row],[円残高]]-テーブル10[[#This Row],[円残高_時価]]</f>
        <v>-1</v>
      </c>
    </row>
    <row r="27" spans="1:17" ht="18" customHeight="1" x14ac:dyDescent="0.25">
      <c r="A27" s="20" t="s">
        <v>107</v>
      </c>
      <c r="B27" s="20" t="s">
        <v>152</v>
      </c>
      <c r="C27" s="21">
        <v>45405</v>
      </c>
      <c r="D27" s="36" t="s">
        <v>4</v>
      </c>
      <c r="E27" s="20" t="s">
        <v>50</v>
      </c>
      <c r="F27" s="20" t="s">
        <v>1</v>
      </c>
      <c r="G27" s="25">
        <v>2655</v>
      </c>
      <c r="H27" s="11">
        <v>20.63</v>
      </c>
      <c r="I27" s="24">
        <f>ROUND(テーブル10[[#This Row],[元金額]]*テーブル10[[#This Row],[為替レート]],0)</f>
        <v>54773</v>
      </c>
      <c r="J27" s="20" t="s">
        <v>499</v>
      </c>
      <c r="K27" s="32" t="s">
        <v>19</v>
      </c>
      <c r="L27" s="28"/>
      <c r="M27" s="20" t="s">
        <v>524</v>
      </c>
      <c r="N27" s="29" cm="1">
        <f t="array" ref="N27">-SUMPRODUCT((B$2:B$167=B27)*((C$2:C$167&lt;C27)+(C$2:C$167=C27)*(ROW(G$2:G$167)&lt;=ROW(G27)))*G$2:G$167)</f>
        <v>25275.818458555503</v>
      </c>
      <c r="O27" s="29" cm="1">
        <f t="array" ref="O27">-SUMPRODUCT((B$2:B$167=B27)*((C$2:C$167&lt;C27)+(C$2:C$167=C27)*(ROW(I$2:I$167)&lt;=ROW(I27)))*I$2:I$167)</f>
        <v>521439</v>
      </c>
      <c r="P27" s="29">
        <f>ROUND(テーブル10[[#This Row],[為替レート]]*テーブル10[[#This Row],[元残高]],0)</f>
        <v>521440</v>
      </c>
      <c r="Q27" s="42">
        <f>テーブル10[[#This Row],[円残高]]-テーブル10[[#This Row],[円残高_時価]]</f>
        <v>-1</v>
      </c>
    </row>
    <row r="28" spans="1:17" ht="18" customHeight="1" x14ac:dyDescent="0.25">
      <c r="A28" s="20" t="s">
        <v>107</v>
      </c>
      <c r="B28" s="20" t="s">
        <v>152</v>
      </c>
      <c r="C28" s="21">
        <v>45425</v>
      </c>
      <c r="D28" s="36" t="s">
        <v>29</v>
      </c>
      <c r="E28" s="20"/>
      <c r="F28" s="20" t="s">
        <v>1</v>
      </c>
      <c r="G28" s="25">
        <v>126</v>
      </c>
      <c r="H28" s="11">
        <v>20.63</v>
      </c>
      <c r="I28" s="24">
        <f>ROUND(テーブル10[[#This Row],[元金額]]*テーブル10[[#This Row],[為替レート]],0)</f>
        <v>2599</v>
      </c>
      <c r="J28" s="20" t="s">
        <v>498</v>
      </c>
      <c r="K28" s="32">
        <v>26019111134</v>
      </c>
      <c r="L28" s="27"/>
      <c r="M28" s="20" t="s">
        <v>525</v>
      </c>
      <c r="N28" s="29" cm="1">
        <f t="array" ref="N28">-SUMPRODUCT((B$2:B$167=B28)*((C$2:C$167&lt;C28)+(C$2:C$167=C28)*(ROW(G$2:G$167)&lt;=ROW(G28)))*G$2:G$167)</f>
        <v>25149.818458555503</v>
      </c>
      <c r="O28" s="29" cm="1">
        <f t="array" ref="O28">-SUMPRODUCT((B$2:B$167=B28)*((C$2:C$167&lt;C28)+(C$2:C$167=C28)*(ROW(I$2:I$167)&lt;=ROW(I28)))*I$2:I$167)</f>
        <v>518840</v>
      </c>
      <c r="P28" s="29">
        <f>ROUND(テーブル10[[#This Row],[為替レート]]*テーブル10[[#This Row],[元残高]],0)</f>
        <v>518841</v>
      </c>
      <c r="Q28" s="42">
        <f>テーブル10[[#This Row],[円残高]]-テーブル10[[#This Row],[円残高_時価]]</f>
        <v>-1</v>
      </c>
    </row>
    <row r="29" spans="1:17" ht="18" customHeight="1" x14ac:dyDescent="0.25">
      <c r="A29" s="20" t="s">
        <v>107</v>
      </c>
      <c r="B29" s="20" t="s">
        <v>152</v>
      </c>
      <c r="C29" s="21">
        <v>45425</v>
      </c>
      <c r="D29" s="36" t="s">
        <v>29</v>
      </c>
      <c r="E29" s="20"/>
      <c r="F29" s="20" t="s">
        <v>1</v>
      </c>
      <c r="G29" s="25">
        <v>58</v>
      </c>
      <c r="H29" s="11">
        <v>20.63</v>
      </c>
      <c r="I29" s="24">
        <f>ROUND(テーブル10[[#This Row],[元金額]]*テーブル10[[#This Row],[為替レート]],0)</f>
        <v>1197</v>
      </c>
      <c r="J29" s="20" t="s">
        <v>498</v>
      </c>
      <c r="K29" s="32">
        <v>26019111134</v>
      </c>
      <c r="L29" s="27"/>
      <c r="M29" s="20" t="s">
        <v>526</v>
      </c>
      <c r="N29" s="29" cm="1">
        <f t="array" ref="N29">-SUMPRODUCT((B$2:B$167=B29)*((C$2:C$167&lt;C29)+(C$2:C$167=C29)*(ROW(G$2:G$167)&lt;=ROW(G29)))*G$2:G$167)</f>
        <v>25091.818458555503</v>
      </c>
      <c r="O29" s="29" cm="1">
        <f t="array" ref="O29">-SUMPRODUCT((B$2:B$167=B29)*((C$2:C$167&lt;C29)+(C$2:C$167=C29)*(ROW(I$2:I$167)&lt;=ROW(I29)))*I$2:I$167)</f>
        <v>517643</v>
      </c>
      <c r="P29" s="29">
        <f>ROUND(テーブル10[[#This Row],[為替レート]]*テーブル10[[#This Row],[元残高]],0)</f>
        <v>517644</v>
      </c>
      <c r="Q29" s="42">
        <f>テーブル10[[#This Row],[円残高]]-テーブル10[[#This Row],[円残高_時価]]</f>
        <v>-1</v>
      </c>
    </row>
    <row r="30" spans="1:17" ht="18" customHeight="1" x14ac:dyDescent="0.25">
      <c r="A30" s="20" t="s">
        <v>107</v>
      </c>
      <c r="B30" s="20" t="s">
        <v>152</v>
      </c>
      <c r="C30" s="21">
        <v>45433</v>
      </c>
      <c r="D30" s="36" t="s">
        <v>4</v>
      </c>
      <c r="E30" s="22" t="s">
        <v>527</v>
      </c>
      <c r="F30" s="20" t="s">
        <v>1</v>
      </c>
      <c r="G30" s="25">
        <v>225</v>
      </c>
      <c r="H30" s="11">
        <v>20.63</v>
      </c>
      <c r="I30" s="24">
        <f>ROUND(テーブル10[[#This Row],[元金額]]*テーブル10[[#This Row],[為替レート]],0)</f>
        <v>4642</v>
      </c>
      <c r="J30" s="20" t="s">
        <v>499</v>
      </c>
      <c r="K30" s="32" t="s">
        <v>19</v>
      </c>
      <c r="L30" s="28"/>
      <c r="M30" s="34" t="s">
        <v>536</v>
      </c>
      <c r="N30" s="29" cm="1">
        <f t="array" ref="N30">-SUMPRODUCT((B$2:B$167=B30)*((C$2:C$167&lt;C30)+(C$2:C$167=C30)*(ROW(G$2:G$167)&lt;=ROW(G30)))*G$2:G$167)</f>
        <v>24866.818458555503</v>
      </c>
      <c r="O30" s="29" cm="1">
        <f t="array" ref="O30">-SUMPRODUCT((B$2:B$167=B30)*((C$2:C$167&lt;C30)+(C$2:C$167=C30)*(ROW(I$2:I$167)&lt;=ROW(I30)))*I$2:I$167)</f>
        <v>513001</v>
      </c>
      <c r="P30" s="29">
        <f>ROUND(テーブル10[[#This Row],[為替レート]]*テーブル10[[#This Row],[元残高]],0)</f>
        <v>513002</v>
      </c>
      <c r="Q30" s="42">
        <f>テーブル10[[#This Row],[円残高]]-テーブル10[[#This Row],[円残高_時価]]</f>
        <v>-1</v>
      </c>
    </row>
    <row r="31" spans="1:17" ht="18" customHeight="1" x14ac:dyDescent="0.25">
      <c r="A31" s="20" t="s">
        <v>107</v>
      </c>
      <c r="B31" s="20" t="s">
        <v>152</v>
      </c>
      <c r="C31" s="21">
        <v>45435</v>
      </c>
      <c r="D31" s="36" t="s">
        <v>29</v>
      </c>
      <c r="E31" s="20"/>
      <c r="F31" s="20" t="s">
        <v>1</v>
      </c>
      <c r="G31" s="25">
        <v>1030</v>
      </c>
      <c r="H31" s="11">
        <v>20.63</v>
      </c>
      <c r="I31" s="24">
        <f>ROUND(テーブル10[[#This Row],[元金額]]*テーブル10[[#This Row],[為替レート]],0)</f>
        <v>21249</v>
      </c>
      <c r="J31" s="20" t="s">
        <v>499</v>
      </c>
      <c r="K31" s="32" t="s">
        <v>528</v>
      </c>
      <c r="L31" s="28"/>
      <c r="M31" s="20" t="s">
        <v>530</v>
      </c>
      <c r="N31" s="29" cm="1">
        <f t="array" ref="N31">-SUMPRODUCT((B$2:B$167=B31)*((C$2:C$167&lt;C31)+(C$2:C$167=C31)*(ROW(G$2:G$167)&lt;=ROW(G31)))*G$2:G$167)</f>
        <v>23836.818458555503</v>
      </c>
      <c r="O31" s="29" cm="1">
        <f t="array" ref="O31">-SUMPRODUCT((B$2:B$167=B31)*((C$2:C$167&lt;C31)+(C$2:C$167=C31)*(ROW(I$2:I$167)&lt;=ROW(I31)))*I$2:I$167)</f>
        <v>491752</v>
      </c>
      <c r="P31" s="29">
        <f>ROUND(テーブル10[[#This Row],[為替レート]]*テーブル10[[#This Row],[元残高]],0)</f>
        <v>491754</v>
      </c>
      <c r="Q31" s="42">
        <f>テーブル10[[#This Row],[円残高]]-テーブル10[[#This Row],[円残高_時価]]</f>
        <v>-2</v>
      </c>
    </row>
    <row r="32" spans="1:17" ht="18" customHeight="1" x14ac:dyDescent="0.25">
      <c r="A32" s="20" t="s">
        <v>107</v>
      </c>
      <c r="B32" s="20" t="s">
        <v>152</v>
      </c>
      <c r="C32" s="21">
        <v>45457</v>
      </c>
      <c r="D32" s="36" t="s">
        <v>4</v>
      </c>
      <c r="E32" s="22" t="s">
        <v>527</v>
      </c>
      <c r="F32" s="20" t="s">
        <v>1</v>
      </c>
      <c r="G32" s="25">
        <v>5</v>
      </c>
      <c r="H32" s="11">
        <v>20.63</v>
      </c>
      <c r="I32" s="24">
        <f>ROUND(テーブル10[[#This Row],[元金額]]*テーブル10[[#This Row],[為替レート]],0)</f>
        <v>103</v>
      </c>
      <c r="J32" s="20" t="s">
        <v>499</v>
      </c>
      <c r="K32" s="32" t="s">
        <v>19</v>
      </c>
      <c r="L32" s="27"/>
      <c r="M32" s="20" t="s">
        <v>531</v>
      </c>
      <c r="N32" s="29" cm="1">
        <f t="array" ref="N32">-SUMPRODUCT((B$2:B$167=B32)*((C$2:C$167&lt;C32)+(C$2:C$167=C32)*(ROW(G$2:G$167)&lt;=ROW(G32)))*G$2:G$167)</f>
        <v>23831.818458555503</v>
      </c>
      <c r="O32" s="29" cm="1">
        <f t="array" ref="O32">-SUMPRODUCT((B$2:B$167=B32)*((C$2:C$167&lt;C32)+(C$2:C$167=C32)*(ROW(I$2:I$167)&lt;=ROW(I32)))*I$2:I$167)</f>
        <v>491649</v>
      </c>
      <c r="P32" s="29">
        <f>ROUND(テーブル10[[#This Row],[為替レート]]*テーブル10[[#This Row],[元残高]],0)</f>
        <v>491650</v>
      </c>
      <c r="Q32" s="42">
        <f>テーブル10[[#This Row],[円残高]]-テーブル10[[#This Row],[円残高_時価]]</f>
        <v>-1</v>
      </c>
    </row>
    <row r="33" spans="1:17" ht="18" customHeight="1" x14ac:dyDescent="0.25">
      <c r="A33" s="20" t="s">
        <v>107</v>
      </c>
      <c r="B33" s="20" t="s">
        <v>152</v>
      </c>
      <c r="C33" s="21">
        <v>45457</v>
      </c>
      <c r="D33" s="36" t="s">
        <v>29</v>
      </c>
      <c r="E33" s="20"/>
      <c r="F33" s="20" t="s">
        <v>1</v>
      </c>
      <c r="G33" s="25">
        <v>45</v>
      </c>
      <c r="H33" s="11">
        <v>20.63</v>
      </c>
      <c r="I33" s="24">
        <f>ROUND(テーブル10[[#This Row],[元金額]]*テーブル10[[#This Row],[為替レート]],0)</f>
        <v>928</v>
      </c>
      <c r="J33" s="20" t="s">
        <v>499</v>
      </c>
      <c r="K33" s="32" t="s">
        <v>528</v>
      </c>
      <c r="L33" s="27"/>
      <c r="M33" s="34" t="s">
        <v>537</v>
      </c>
      <c r="N33" s="29" cm="1">
        <f t="array" ref="N33">-SUMPRODUCT((B$2:B$167=B33)*((C$2:C$167&lt;C33)+(C$2:C$167=C33)*(ROW(G$2:G$167)&lt;=ROW(G33)))*G$2:G$167)</f>
        <v>23786.818458555503</v>
      </c>
      <c r="O33" s="29" cm="1">
        <f t="array" ref="O33">-SUMPRODUCT((B$2:B$167=B33)*((C$2:C$167&lt;C33)+(C$2:C$167=C33)*(ROW(I$2:I$167)&lt;=ROW(I33)))*I$2:I$167)</f>
        <v>490721</v>
      </c>
      <c r="P33" s="29">
        <f>ROUND(テーブル10[[#This Row],[為替レート]]*テーブル10[[#This Row],[元残高]],0)</f>
        <v>490722</v>
      </c>
      <c r="Q33" s="42">
        <f>テーブル10[[#This Row],[円残高]]-テーブル10[[#This Row],[円残高_時価]]</f>
        <v>-1</v>
      </c>
    </row>
    <row r="34" spans="1:17" ht="18" customHeight="1" x14ac:dyDescent="0.25">
      <c r="A34" s="20" t="s">
        <v>107</v>
      </c>
      <c r="B34" s="20" t="s">
        <v>152</v>
      </c>
      <c r="C34" s="21">
        <v>45460</v>
      </c>
      <c r="D34" s="36" t="s">
        <v>4</v>
      </c>
      <c r="E34" s="20" t="s">
        <v>50</v>
      </c>
      <c r="F34" s="20" t="s">
        <v>1</v>
      </c>
      <c r="G34" s="25">
        <v>-31.5</v>
      </c>
      <c r="H34" s="11">
        <v>20.63</v>
      </c>
      <c r="I34" s="24">
        <f>ROUND(テーブル10[[#This Row],[元金額]]*テーブル10[[#This Row],[為替レート]],0)</f>
        <v>-650</v>
      </c>
      <c r="J34" s="20" t="s">
        <v>499</v>
      </c>
      <c r="K34" s="32" t="s">
        <v>19</v>
      </c>
      <c r="L34" s="28"/>
      <c r="M34" s="20" t="s">
        <v>532</v>
      </c>
      <c r="N34" s="29" cm="1">
        <f t="array" ref="N34">-SUMPRODUCT((B$2:B$167=B34)*((C$2:C$167&lt;C34)+(C$2:C$167=C34)*(ROW(G$2:G$167)&lt;=ROW(G34)))*G$2:G$167)</f>
        <v>23818.318458555503</v>
      </c>
      <c r="O34" s="29" cm="1">
        <f t="array" ref="O34">-SUMPRODUCT((B$2:B$167=B34)*((C$2:C$167&lt;C34)+(C$2:C$167=C34)*(ROW(I$2:I$167)&lt;=ROW(I34)))*I$2:I$167)</f>
        <v>491371</v>
      </c>
      <c r="P34" s="29">
        <f>ROUND(テーブル10[[#This Row],[為替レート]]*テーブル10[[#This Row],[元残高]],0)</f>
        <v>491372</v>
      </c>
      <c r="Q34" s="42">
        <f>テーブル10[[#This Row],[円残高]]-テーブル10[[#This Row],[円残高_時価]]</f>
        <v>-1</v>
      </c>
    </row>
    <row r="35" spans="1:17" ht="18" customHeight="1" x14ac:dyDescent="0.25">
      <c r="A35" s="20" t="s">
        <v>107</v>
      </c>
      <c r="B35" s="20" t="s">
        <v>152</v>
      </c>
      <c r="C35" s="21">
        <v>45484</v>
      </c>
      <c r="D35" s="36" t="s">
        <v>4</v>
      </c>
      <c r="E35" s="20" t="s">
        <v>50</v>
      </c>
      <c r="F35" s="20" t="s">
        <v>1</v>
      </c>
      <c r="G35" s="25">
        <v>1595</v>
      </c>
      <c r="H35" s="11">
        <v>20.63</v>
      </c>
      <c r="I35" s="24">
        <f>ROUND(テーブル10[[#This Row],[元金額]]*テーブル10[[#This Row],[為替レート]],0)</f>
        <v>32905</v>
      </c>
      <c r="J35" s="20" t="s">
        <v>499</v>
      </c>
      <c r="K35" s="32" t="s">
        <v>20</v>
      </c>
      <c r="L35" s="28"/>
      <c r="M35" s="20" t="s">
        <v>533</v>
      </c>
      <c r="N35" s="29" cm="1">
        <f t="array" ref="N35">-SUMPRODUCT((B$2:B$167=B35)*((C$2:C$167&lt;C35)+(C$2:C$167=C35)*(ROW(G$2:G$167)&lt;=ROW(G35)))*G$2:G$167)</f>
        <v>22223.318458555503</v>
      </c>
      <c r="O35" s="29" cm="1">
        <f t="array" ref="O35">-SUMPRODUCT((B$2:B$167=B35)*((C$2:C$167&lt;C35)+(C$2:C$167=C35)*(ROW(I$2:I$167)&lt;=ROW(I35)))*I$2:I$167)</f>
        <v>458466</v>
      </c>
      <c r="P35" s="29">
        <f>ROUND(テーブル10[[#This Row],[為替レート]]*テーブル10[[#This Row],[元残高]],0)</f>
        <v>458467</v>
      </c>
      <c r="Q35" s="42">
        <f>テーブル10[[#This Row],[円残高]]-テーブル10[[#This Row],[円残高_時価]]</f>
        <v>-1</v>
      </c>
    </row>
    <row r="36" spans="1:17" ht="18" customHeight="1" x14ac:dyDescent="0.25">
      <c r="A36" s="20" t="s">
        <v>107</v>
      </c>
      <c r="B36" s="20" t="s">
        <v>152</v>
      </c>
      <c r="C36" s="21">
        <v>45491</v>
      </c>
      <c r="D36" s="36" t="s">
        <v>4</v>
      </c>
      <c r="E36" s="20" t="s">
        <v>15</v>
      </c>
      <c r="F36" s="20" t="s">
        <v>1</v>
      </c>
      <c r="G36" s="25">
        <v>534</v>
      </c>
      <c r="H36" s="11">
        <v>20.63</v>
      </c>
      <c r="I36" s="24">
        <f>ROUND(テーブル10[[#This Row],[元金額]]*テーブル10[[#This Row],[為替レート]],0)</f>
        <v>11016</v>
      </c>
      <c r="J36" s="20" t="s">
        <v>498</v>
      </c>
      <c r="K36" s="32">
        <v>26019113411</v>
      </c>
      <c r="L36" s="11"/>
      <c r="M36" s="47" t="s">
        <v>670</v>
      </c>
      <c r="N36" s="29" cm="1">
        <f t="array" ref="N36">-SUMPRODUCT((B$2:B$167=B36)*((C$2:C$167&lt;C36)+(C$2:C$167=C36)*(ROW(G$2:G$167)&lt;=ROW(G36)))*G$2:G$167)</f>
        <v>21689.318458555503</v>
      </c>
      <c r="O36" s="29" cm="1">
        <f t="array" ref="O36">-SUMPRODUCT((B$2:B$167=B36)*((C$2:C$167&lt;C36)+(C$2:C$167=C36)*(ROW(I$2:I$167)&lt;=ROW(I36)))*I$2:I$167)</f>
        <v>447450</v>
      </c>
      <c r="P36" s="29">
        <f>ROUND(テーブル10[[#This Row],[為替レート]]*テーブル10[[#This Row],[元残高]],0)</f>
        <v>447451</v>
      </c>
      <c r="Q36" s="42">
        <f>テーブル10[[#This Row],[円残高]]-テーブル10[[#This Row],[円残高_時価]]</f>
        <v>-1</v>
      </c>
    </row>
    <row r="37" spans="1:17" ht="18" customHeight="1" x14ac:dyDescent="0.25">
      <c r="A37" s="20" t="s">
        <v>107</v>
      </c>
      <c r="B37" s="20" t="s">
        <v>152</v>
      </c>
      <c r="C37" s="21">
        <v>45491</v>
      </c>
      <c r="D37" s="36" t="s">
        <v>4</v>
      </c>
      <c r="E37" s="20" t="s">
        <v>15</v>
      </c>
      <c r="F37" s="20" t="s">
        <v>1</v>
      </c>
      <c r="G37" s="25">
        <v>52</v>
      </c>
      <c r="H37" s="11">
        <v>20.63</v>
      </c>
      <c r="I37" s="24">
        <f>ROUND(テーブル10[[#This Row],[元金額]]*テーブル10[[#This Row],[為替レート]],0)</f>
        <v>1073</v>
      </c>
      <c r="J37" s="20" t="s">
        <v>498</v>
      </c>
      <c r="K37" s="32">
        <v>26019113595</v>
      </c>
      <c r="L37" s="27"/>
      <c r="M37" s="48" t="s">
        <v>671</v>
      </c>
      <c r="N37" s="29" cm="1">
        <f t="array" ref="N37">-SUMPRODUCT((B$2:B$167=B37)*((C$2:C$167&lt;C37)+(C$2:C$167=C37)*(ROW(G$2:G$167)&lt;=ROW(G37)))*G$2:G$167)</f>
        <v>21637.318458555503</v>
      </c>
      <c r="O37" s="29" cm="1">
        <f t="array" ref="O37">-SUMPRODUCT((B$2:B$167=B37)*((C$2:C$167&lt;C37)+(C$2:C$167=C37)*(ROW(I$2:I$167)&lt;=ROW(I37)))*I$2:I$167)</f>
        <v>446377</v>
      </c>
      <c r="P37" s="29">
        <f>ROUND(テーブル10[[#This Row],[為替レート]]*テーブル10[[#This Row],[元残高]],0)</f>
        <v>446378</v>
      </c>
      <c r="Q37" s="42">
        <f>テーブル10[[#This Row],[円残高]]-テーブル10[[#This Row],[円残高_時価]]</f>
        <v>-1</v>
      </c>
    </row>
    <row r="38" spans="1:17" ht="18" customHeight="1" x14ac:dyDescent="0.25">
      <c r="A38" s="20" t="s">
        <v>107</v>
      </c>
      <c r="B38" s="20" t="s">
        <v>152</v>
      </c>
      <c r="C38" s="21">
        <v>45491</v>
      </c>
      <c r="D38" s="36" t="s">
        <v>29</v>
      </c>
      <c r="E38" s="20"/>
      <c r="F38" s="20" t="s">
        <v>1</v>
      </c>
      <c r="G38" s="25">
        <v>390</v>
      </c>
      <c r="H38" s="11">
        <v>20.63</v>
      </c>
      <c r="I38" s="24">
        <f>ROUND(テーブル10[[#This Row],[元金額]]*テーブル10[[#This Row],[為替レート]],0)</f>
        <v>8046</v>
      </c>
      <c r="J38" s="20" t="s">
        <v>498</v>
      </c>
      <c r="K38" s="32">
        <v>26019113595</v>
      </c>
      <c r="L38" s="31"/>
      <c r="M38" s="20" t="s">
        <v>534</v>
      </c>
      <c r="N38" s="29" cm="1">
        <f t="array" ref="N38">-SUMPRODUCT((B$2:B$167=B38)*((C$2:C$167&lt;C38)+(C$2:C$167=C38)*(ROW(G$2:G$167)&lt;=ROW(G38)))*G$2:G$167)</f>
        <v>21247.318458555503</v>
      </c>
      <c r="O38" s="29" cm="1">
        <f t="array" ref="O38">-SUMPRODUCT((B$2:B$167=B38)*((C$2:C$167&lt;C38)+(C$2:C$167=C38)*(ROW(I$2:I$167)&lt;=ROW(I38)))*I$2:I$167)</f>
        <v>438331</v>
      </c>
      <c r="P38" s="29">
        <f>ROUND(テーブル10[[#This Row],[為替レート]]*テーブル10[[#This Row],[元残高]],0)</f>
        <v>438332</v>
      </c>
      <c r="Q38" s="42">
        <f>テーブル10[[#This Row],[円残高]]-テーブル10[[#This Row],[円残高_時価]]</f>
        <v>-1</v>
      </c>
    </row>
    <row r="39" spans="1:17" ht="18" customHeight="1" x14ac:dyDescent="0.25">
      <c r="A39" s="20" t="s">
        <v>107</v>
      </c>
      <c r="B39" s="20" t="s">
        <v>152</v>
      </c>
      <c r="C39" s="21">
        <v>45504</v>
      </c>
      <c r="D39" s="36" t="s">
        <v>4</v>
      </c>
      <c r="E39" s="20" t="s">
        <v>50</v>
      </c>
      <c r="F39" s="20" t="s">
        <v>1</v>
      </c>
      <c r="G39" s="25">
        <v>280</v>
      </c>
      <c r="H39" s="11">
        <v>20.63</v>
      </c>
      <c r="I39" s="24">
        <f>ROUND(テーブル10[[#This Row],[元金額]]*テーブル10[[#This Row],[為替レート]],0)</f>
        <v>5776</v>
      </c>
      <c r="J39" s="20" t="s">
        <v>499</v>
      </c>
      <c r="K39" s="32" t="s">
        <v>21</v>
      </c>
      <c r="L39" s="28"/>
      <c r="M39" s="20" t="s">
        <v>538</v>
      </c>
      <c r="N39" s="29" cm="1">
        <f t="array" ref="N39">-SUMPRODUCT((B$2:B$167=B39)*((C$2:C$167&lt;C39)+(C$2:C$167=C39)*(ROW(G$2:G$167)&lt;=ROW(G39)))*G$2:G$167)</f>
        <v>20967.318458555503</v>
      </c>
      <c r="O39" s="29" cm="1">
        <f t="array" ref="O39">-SUMPRODUCT((B$2:B$167=B39)*((C$2:C$167&lt;C39)+(C$2:C$167=C39)*(ROW(I$2:I$167)&lt;=ROW(I39)))*I$2:I$167)</f>
        <v>432555</v>
      </c>
      <c r="P39" s="29">
        <f>ROUND(テーブル10[[#This Row],[為替レート]]*テーブル10[[#This Row],[元残高]],0)</f>
        <v>432556</v>
      </c>
      <c r="Q39" s="42">
        <f>テーブル10[[#This Row],[円残高]]-テーブル10[[#This Row],[円残高_時価]]</f>
        <v>-1</v>
      </c>
    </row>
    <row r="40" spans="1:17" ht="18" customHeight="1" x14ac:dyDescent="0.25">
      <c r="A40" s="20" t="s">
        <v>107</v>
      </c>
      <c r="B40" s="20" t="s">
        <v>152</v>
      </c>
      <c r="C40" s="21">
        <v>45504</v>
      </c>
      <c r="D40" s="36" t="s">
        <v>4</v>
      </c>
      <c r="E40" s="20" t="s">
        <v>50</v>
      </c>
      <c r="F40" s="20" t="s">
        <v>1</v>
      </c>
      <c r="G40" s="25">
        <v>3185</v>
      </c>
      <c r="H40" s="11">
        <v>20.63</v>
      </c>
      <c r="I40" s="24">
        <f>ROUND(テーブル10[[#This Row],[元金額]]*テーブル10[[#This Row],[為替レート]],0)</f>
        <v>65707</v>
      </c>
      <c r="J40" s="20" t="s">
        <v>499</v>
      </c>
      <c r="K40" s="32" t="s">
        <v>22</v>
      </c>
      <c r="L40" s="28"/>
      <c r="M40" s="20" t="s">
        <v>539</v>
      </c>
      <c r="N40" s="29" cm="1">
        <f t="array" ref="N40">-SUMPRODUCT((B$2:B$167=B40)*((C$2:C$167&lt;C40)+(C$2:C$167=C40)*(ROW(G$2:G$167)&lt;=ROW(G40)))*G$2:G$167)</f>
        <v>17782.318458555503</v>
      </c>
      <c r="O40" s="29" cm="1">
        <f t="array" ref="O40">-SUMPRODUCT((B$2:B$167=B40)*((C$2:C$167&lt;C40)+(C$2:C$167=C40)*(ROW(I$2:I$167)&lt;=ROW(I40)))*I$2:I$167)</f>
        <v>366848</v>
      </c>
      <c r="P40" s="29">
        <f>ROUND(テーブル10[[#This Row],[為替レート]]*テーブル10[[#This Row],[元残高]],0)</f>
        <v>366849</v>
      </c>
      <c r="Q40" s="42">
        <f>テーブル10[[#This Row],[円残高]]-テーブル10[[#This Row],[円残高_時価]]</f>
        <v>-1</v>
      </c>
    </row>
    <row r="41" spans="1:17" ht="18" customHeight="1" x14ac:dyDescent="0.25">
      <c r="A41" s="20" t="s">
        <v>107</v>
      </c>
      <c r="B41" s="20" t="s">
        <v>152</v>
      </c>
      <c r="C41" s="21">
        <v>45505</v>
      </c>
      <c r="D41" s="36" t="s">
        <v>4</v>
      </c>
      <c r="E41" s="20" t="s">
        <v>527</v>
      </c>
      <c r="F41" s="20" t="s">
        <v>1</v>
      </c>
      <c r="G41" s="25">
        <v>425</v>
      </c>
      <c r="H41" s="11">
        <v>20.63</v>
      </c>
      <c r="I41" s="24">
        <f>ROUND(テーブル10[[#This Row],[元金額]]*テーブル10[[#This Row],[為替レート]],0)</f>
        <v>8768</v>
      </c>
      <c r="J41" s="20" t="s">
        <v>499</v>
      </c>
      <c r="K41" s="32" t="s">
        <v>20</v>
      </c>
      <c r="L41" s="27"/>
      <c r="M41" s="20" t="s">
        <v>540</v>
      </c>
      <c r="N41" s="29" cm="1">
        <f t="array" ref="N41">-SUMPRODUCT((B$2:B$167=B41)*((C$2:C$167&lt;C41)+(C$2:C$167=C41)*(ROW(G$2:G$167)&lt;=ROW(G41)))*G$2:G$167)</f>
        <v>17357.318458555503</v>
      </c>
      <c r="O41" s="29" cm="1">
        <f t="array" ref="O41">-SUMPRODUCT((B$2:B$167=B41)*((C$2:C$167&lt;C41)+(C$2:C$167=C41)*(ROW(I$2:I$167)&lt;=ROW(I41)))*I$2:I$167)</f>
        <v>358080</v>
      </c>
      <c r="P41" s="29">
        <f>ROUND(テーブル10[[#This Row],[為替レート]]*テーブル10[[#This Row],[元残高]],0)</f>
        <v>358081</v>
      </c>
      <c r="Q41" s="42">
        <f>テーブル10[[#This Row],[円残高]]-テーブル10[[#This Row],[円残高_時価]]</f>
        <v>-1</v>
      </c>
    </row>
    <row r="42" spans="1:17" ht="18" customHeight="1" x14ac:dyDescent="0.25">
      <c r="A42" s="20" t="s">
        <v>107</v>
      </c>
      <c r="B42" s="20" t="s">
        <v>152</v>
      </c>
      <c r="C42" s="21">
        <v>45510</v>
      </c>
      <c r="D42" s="36" t="s">
        <v>4</v>
      </c>
      <c r="E42" s="20" t="s">
        <v>151</v>
      </c>
      <c r="F42" s="20" t="s">
        <v>1</v>
      </c>
      <c r="G42" s="25">
        <v>8</v>
      </c>
      <c r="H42" s="11">
        <v>20.63</v>
      </c>
      <c r="I42" s="24">
        <f>ROUND(テーブル10[[#This Row],[元金額]]*テーブル10[[#This Row],[為替レート]],0)</f>
        <v>165</v>
      </c>
      <c r="J42" s="20" t="s">
        <v>499</v>
      </c>
      <c r="K42" s="32" t="s">
        <v>22</v>
      </c>
      <c r="L42" s="17"/>
      <c r="M42" s="20" t="s">
        <v>541</v>
      </c>
      <c r="N42" s="29" cm="1">
        <f t="array" ref="N42">-SUMPRODUCT((B$2:B$167=B42)*((C$2:C$167&lt;C42)+(C$2:C$167=C42)*(ROW(G$2:G$167)&lt;=ROW(G42)))*G$2:G$167)</f>
        <v>17349.318458555503</v>
      </c>
      <c r="O42" s="29" cm="1">
        <f t="array" ref="O42">-SUMPRODUCT((B$2:B$167=B42)*((C$2:C$167&lt;C42)+(C$2:C$167=C42)*(ROW(I$2:I$167)&lt;=ROW(I42)))*I$2:I$167)</f>
        <v>357915</v>
      </c>
      <c r="P42" s="29">
        <f>ROUND(テーブル10[[#This Row],[為替レート]]*テーブル10[[#This Row],[元残高]],0)</f>
        <v>357916</v>
      </c>
      <c r="Q42" s="42">
        <f>テーブル10[[#This Row],[円残高]]-テーブル10[[#This Row],[円残高_時価]]</f>
        <v>-1</v>
      </c>
    </row>
    <row r="43" spans="1:17" ht="18" customHeight="1" x14ac:dyDescent="0.25">
      <c r="A43" s="20" t="s">
        <v>107</v>
      </c>
      <c r="B43" s="20" t="s">
        <v>152</v>
      </c>
      <c r="C43" s="21">
        <v>45518</v>
      </c>
      <c r="D43" s="36" t="s">
        <v>4</v>
      </c>
      <c r="E43" s="20" t="s">
        <v>527</v>
      </c>
      <c r="F43" s="20" t="s">
        <v>1</v>
      </c>
      <c r="G43" s="25">
        <v>25</v>
      </c>
      <c r="H43" s="11">
        <v>20.63</v>
      </c>
      <c r="I43" s="24">
        <f>ROUND(テーブル10[[#This Row],[元金額]]*テーブル10[[#This Row],[為替レート]],0)</f>
        <v>516</v>
      </c>
      <c r="J43" s="20" t="s">
        <v>499</v>
      </c>
      <c r="K43" s="32" t="s">
        <v>22</v>
      </c>
      <c r="L43" s="27"/>
      <c r="M43" s="20" t="s">
        <v>542</v>
      </c>
      <c r="N43" s="29" cm="1">
        <f t="array" ref="N43">-SUMPRODUCT((B$2:B$167=B43)*((C$2:C$167&lt;C43)+(C$2:C$167=C43)*(ROW(G$2:G$167)&lt;=ROW(G43)))*G$2:G$167)</f>
        <v>17324.318458555503</v>
      </c>
      <c r="O43" s="29" cm="1">
        <f t="array" ref="O43">-SUMPRODUCT((B$2:B$167=B43)*((C$2:C$167&lt;C43)+(C$2:C$167=C43)*(ROW(I$2:I$167)&lt;=ROW(I43)))*I$2:I$167)</f>
        <v>357399</v>
      </c>
      <c r="P43" s="29">
        <f>ROUND(テーブル10[[#This Row],[為替レート]]*テーブル10[[#This Row],[元残高]],0)</f>
        <v>357401</v>
      </c>
      <c r="Q43" s="42">
        <f>テーブル10[[#This Row],[円残高]]-テーブル10[[#This Row],[円残高_時価]]</f>
        <v>-2</v>
      </c>
    </row>
    <row r="44" spans="1:17" ht="18" customHeight="1" x14ac:dyDescent="0.25">
      <c r="A44" s="20" t="s">
        <v>107</v>
      </c>
      <c r="B44" s="20" t="s">
        <v>152</v>
      </c>
      <c r="C44" s="21">
        <v>45519</v>
      </c>
      <c r="D44" s="36" t="s">
        <v>4</v>
      </c>
      <c r="E44" s="20" t="s">
        <v>527</v>
      </c>
      <c r="F44" s="20" t="s">
        <v>1</v>
      </c>
      <c r="G44" s="25">
        <v>225</v>
      </c>
      <c r="H44" s="11">
        <v>20.63</v>
      </c>
      <c r="I44" s="24">
        <f>ROUND(テーブル10[[#This Row],[元金額]]*テーブル10[[#This Row],[為替レート]],0)</f>
        <v>4642</v>
      </c>
      <c r="J44" s="20" t="s">
        <v>499</v>
      </c>
      <c r="K44" s="32" t="s">
        <v>22</v>
      </c>
      <c r="L44" s="27"/>
      <c r="M44" s="20" t="s">
        <v>543</v>
      </c>
      <c r="N44" s="29" cm="1">
        <f t="array" ref="N44">-SUMPRODUCT((B$2:B$167=B44)*((C$2:C$167&lt;C44)+(C$2:C$167=C44)*(ROW(G$2:G$167)&lt;=ROW(G44)))*G$2:G$167)</f>
        <v>17099.318458555503</v>
      </c>
      <c r="O44" s="29" cm="1">
        <f t="array" ref="O44">-SUMPRODUCT((B$2:B$167=B44)*((C$2:C$167&lt;C44)+(C$2:C$167=C44)*(ROW(I$2:I$167)&lt;=ROW(I44)))*I$2:I$167)</f>
        <v>352757</v>
      </c>
      <c r="P44" s="29">
        <f>ROUND(テーブル10[[#This Row],[為替レート]]*テーブル10[[#This Row],[元残高]],0)</f>
        <v>352759</v>
      </c>
      <c r="Q44" s="42">
        <f>テーブル10[[#This Row],[円残高]]-テーブル10[[#This Row],[円残高_時価]]</f>
        <v>-2</v>
      </c>
    </row>
    <row r="45" spans="1:17" ht="18" customHeight="1" x14ac:dyDescent="0.25">
      <c r="A45" s="20" t="s">
        <v>107</v>
      </c>
      <c r="B45" s="20" t="s">
        <v>152</v>
      </c>
      <c r="C45" s="21">
        <v>45520</v>
      </c>
      <c r="D45" s="36" t="s">
        <v>4</v>
      </c>
      <c r="E45" s="20" t="s">
        <v>527</v>
      </c>
      <c r="F45" s="20" t="s">
        <v>1</v>
      </c>
      <c r="G45" s="25">
        <v>225</v>
      </c>
      <c r="H45" s="11">
        <v>20.63</v>
      </c>
      <c r="I45" s="24">
        <f>ROUND(テーブル10[[#This Row],[元金額]]*テーブル10[[#This Row],[為替レート]],0)</f>
        <v>4642</v>
      </c>
      <c r="J45" s="20" t="s">
        <v>499</v>
      </c>
      <c r="K45" s="32" t="s">
        <v>22</v>
      </c>
      <c r="L45" s="27"/>
      <c r="M45" s="20" t="s">
        <v>543</v>
      </c>
      <c r="N45" s="29" cm="1">
        <f t="array" ref="N45">-SUMPRODUCT((B$2:B$167=B45)*((C$2:C$167&lt;C45)+(C$2:C$167=C45)*(ROW(G$2:G$167)&lt;=ROW(G45)))*G$2:G$167)</f>
        <v>16874.318458555503</v>
      </c>
      <c r="O45" s="29" cm="1">
        <f t="array" ref="O45">-SUMPRODUCT((B$2:B$167=B45)*((C$2:C$167&lt;C45)+(C$2:C$167=C45)*(ROW(I$2:I$167)&lt;=ROW(I45)))*I$2:I$167)</f>
        <v>348115</v>
      </c>
      <c r="P45" s="29">
        <f>ROUND(テーブル10[[#This Row],[為替レート]]*テーブル10[[#This Row],[元残高]],0)</f>
        <v>348117</v>
      </c>
      <c r="Q45" s="42">
        <f>テーブル10[[#This Row],[円残高]]-テーブル10[[#This Row],[円残高_時価]]</f>
        <v>-2</v>
      </c>
    </row>
    <row r="46" spans="1:17" ht="18" customHeight="1" x14ac:dyDescent="0.25">
      <c r="A46" s="20" t="s">
        <v>107</v>
      </c>
      <c r="B46" s="20" t="s">
        <v>152</v>
      </c>
      <c r="C46" s="21">
        <v>45523</v>
      </c>
      <c r="D46" s="36" t="s">
        <v>4</v>
      </c>
      <c r="E46" s="20" t="s">
        <v>527</v>
      </c>
      <c r="F46" s="20" t="s">
        <v>1</v>
      </c>
      <c r="G46" s="25">
        <v>225</v>
      </c>
      <c r="H46" s="11">
        <v>20.63</v>
      </c>
      <c r="I46" s="24">
        <f>ROUND(テーブル10[[#This Row],[元金額]]*テーブル10[[#This Row],[為替レート]],0)</f>
        <v>4642</v>
      </c>
      <c r="J46" s="20" t="s">
        <v>499</v>
      </c>
      <c r="K46" s="32" t="s">
        <v>22</v>
      </c>
      <c r="L46" s="27"/>
      <c r="M46" s="20" t="s">
        <v>544</v>
      </c>
      <c r="N46" s="29" cm="1">
        <f t="array" ref="N46">-SUMPRODUCT((B$2:B$167=B46)*((C$2:C$167&lt;C46)+(C$2:C$167=C46)*(ROW(G$2:G$167)&lt;=ROW(G46)))*G$2:G$167)</f>
        <v>16649.318458555503</v>
      </c>
      <c r="O46" s="29" cm="1">
        <f t="array" ref="O46">-SUMPRODUCT((B$2:B$167=B46)*((C$2:C$167&lt;C46)+(C$2:C$167=C46)*(ROW(I$2:I$167)&lt;=ROW(I46)))*I$2:I$167)</f>
        <v>343473</v>
      </c>
      <c r="P46" s="29">
        <f>ROUND(テーブル10[[#This Row],[為替レート]]*テーブル10[[#This Row],[元残高]],0)</f>
        <v>343475</v>
      </c>
      <c r="Q46" s="42">
        <f>テーブル10[[#This Row],[円残高]]-テーブル10[[#This Row],[円残高_時価]]</f>
        <v>-2</v>
      </c>
    </row>
    <row r="47" spans="1:17" ht="18" customHeight="1" x14ac:dyDescent="0.25">
      <c r="A47" s="20" t="s">
        <v>107</v>
      </c>
      <c r="B47" s="20" t="s">
        <v>152</v>
      </c>
      <c r="C47" s="21">
        <v>45527</v>
      </c>
      <c r="D47" s="36" t="s">
        <v>440</v>
      </c>
      <c r="E47" s="20"/>
      <c r="F47" s="20" t="s">
        <v>1</v>
      </c>
      <c r="G47" s="25">
        <v>216</v>
      </c>
      <c r="H47" s="11">
        <v>20.63</v>
      </c>
      <c r="I47" s="24">
        <f>ROUND(テーブル10[[#This Row],[元金額]]*テーブル10[[#This Row],[為替レート]],0)</f>
        <v>4456</v>
      </c>
      <c r="J47" s="20"/>
      <c r="K47" s="32"/>
      <c r="L47" s="28"/>
      <c r="M47" s="20" t="s">
        <v>545</v>
      </c>
      <c r="N47" s="29" cm="1">
        <f t="array" ref="N47">-SUMPRODUCT((B$2:B$167=B47)*((C$2:C$167&lt;C47)+(C$2:C$167=C47)*(ROW(G$2:G$167)&lt;=ROW(G47)))*G$2:G$167)</f>
        <v>16433.318458555503</v>
      </c>
      <c r="O47" s="29" cm="1">
        <f t="array" ref="O47">-SUMPRODUCT((B$2:B$167=B47)*((C$2:C$167&lt;C47)+(C$2:C$167=C47)*(ROW(I$2:I$167)&lt;=ROW(I47)))*I$2:I$167)</f>
        <v>339017</v>
      </c>
      <c r="P47" s="29">
        <f>ROUND(テーブル10[[#This Row],[為替レート]]*テーブル10[[#This Row],[元残高]],0)</f>
        <v>339019</v>
      </c>
      <c r="Q47" s="42">
        <f>テーブル10[[#This Row],[円残高]]-テーブル10[[#This Row],[円残高_時価]]</f>
        <v>-2</v>
      </c>
    </row>
    <row r="48" spans="1:17" ht="18" customHeight="1" x14ac:dyDescent="0.25">
      <c r="A48" s="20" t="s">
        <v>107</v>
      </c>
      <c r="B48" s="20" t="s">
        <v>152</v>
      </c>
      <c r="C48" s="21">
        <v>45530</v>
      </c>
      <c r="D48" s="36" t="s">
        <v>4</v>
      </c>
      <c r="E48" s="20" t="s">
        <v>50</v>
      </c>
      <c r="F48" s="20" t="s">
        <v>1</v>
      </c>
      <c r="G48" s="25">
        <v>6080</v>
      </c>
      <c r="H48" s="11">
        <v>20.63</v>
      </c>
      <c r="I48" s="24">
        <f>ROUND(テーブル10[[#This Row],[元金額]]*テーブル10[[#This Row],[為替レート]],0)</f>
        <v>125430</v>
      </c>
      <c r="J48" s="20" t="s">
        <v>499</v>
      </c>
      <c r="K48" s="32" t="s">
        <v>23</v>
      </c>
      <c r="L48" s="28"/>
      <c r="M48" s="20" t="s">
        <v>547</v>
      </c>
      <c r="N48" s="29" cm="1">
        <f t="array" ref="N48">-SUMPRODUCT((B$2:B$167=B48)*((C$2:C$167&lt;C48)+(C$2:C$167=C48)*(ROW(G$2:G$167)&lt;=ROW(G48)))*G$2:G$167)</f>
        <v>10353.318458555503</v>
      </c>
      <c r="O48" s="29" cm="1">
        <f t="array" ref="O48">-SUMPRODUCT((B$2:B$167=B48)*((C$2:C$167&lt;C48)+(C$2:C$167=C48)*(ROW(I$2:I$167)&lt;=ROW(I48)))*I$2:I$167)</f>
        <v>213587</v>
      </c>
      <c r="P48" s="29">
        <f>ROUND(テーブル10[[#This Row],[為替レート]]*テーブル10[[#This Row],[元残高]],0)</f>
        <v>213589</v>
      </c>
      <c r="Q48" s="42">
        <f>テーブル10[[#This Row],[円残高]]-テーブル10[[#This Row],[円残高_時価]]</f>
        <v>-2</v>
      </c>
    </row>
    <row r="49" spans="1:17" ht="18" customHeight="1" x14ac:dyDescent="0.25">
      <c r="A49" s="20" t="s">
        <v>107</v>
      </c>
      <c r="B49" s="20" t="s">
        <v>152</v>
      </c>
      <c r="C49" s="21">
        <v>45531</v>
      </c>
      <c r="D49" s="36" t="s">
        <v>4</v>
      </c>
      <c r="E49" s="20" t="s">
        <v>151</v>
      </c>
      <c r="F49" s="20" t="s">
        <v>1</v>
      </c>
      <c r="G49" s="25">
        <v>18</v>
      </c>
      <c r="H49" s="11">
        <v>20.63</v>
      </c>
      <c r="I49" s="24">
        <f>ROUND(テーブル10[[#This Row],[元金額]]*テーブル10[[#This Row],[為替レート]],0)</f>
        <v>371</v>
      </c>
      <c r="J49" s="20" t="s">
        <v>499</v>
      </c>
      <c r="K49" s="32" t="s">
        <v>16</v>
      </c>
      <c r="L49" s="18"/>
      <c r="M49" s="34" t="s">
        <v>563</v>
      </c>
      <c r="N49" s="29" cm="1">
        <f t="array" ref="N49">-SUMPRODUCT((B$2:B$167=B49)*((C$2:C$167&lt;C49)+(C$2:C$167=C49)*(ROW(G$2:G$167)&lt;=ROW(G49)))*G$2:G$167)</f>
        <v>10335.318458555503</v>
      </c>
      <c r="O49" s="29" cm="1">
        <f t="array" ref="O49">-SUMPRODUCT((B$2:B$167=B49)*((C$2:C$167&lt;C49)+(C$2:C$167=C49)*(ROW(I$2:I$167)&lt;=ROW(I49)))*I$2:I$167)</f>
        <v>213216</v>
      </c>
      <c r="P49" s="29">
        <f>ROUND(テーブル10[[#This Row],[為替レート]]*テーブル10[[#This Row],[元残高]],0)</f>
        <v>213218</v>
      </c>
      <c r="Q49" s="42">
        <f>テーブル10[[#This Row],[円残高]]-テーブル10[[#This Row],[円残高_時価]]</f>
        <v>-2</v>
      </c>
    </row>
    <row r="50" spans="1:17" ht="18" customHeight="1" x14ac:dyDescent="0.25">
      <c r="A50" s="20" t="s">
        <v>107</v>
      </c>
      <c r="B50" s="20" t="s">
        <v>152</v>
      </c>
      <c r="C50" s="21">
        <v>45532</v>
      </c>
      <c r="D50" s="36" t="s">
        <v>440</v>
      </c>
      <c r="E50" s="20"/>
      <c r="F50" s="20" t="s">
        <v>1</v>
      </c>
      <c r="G50" s="25">
        <v>24</v>
      </c>
      <c r="H50" s="11">
        <v>20.63</v>
      </c>
      <c r="I50" s="24">
        <f>ROUND(テーブル10[[#This Row],[元金額]]*テーブル10[[#This Row],[為替レート]],0)</f>
        <v>495</v>
      </c>
      <c r="J50" s="20"/>
      <c r="K50" s="32"/>
      <c r="L50" s="28"/>
      <c r="M50" s="20" t="s">
        <v>546</v>
      </c>
      <c r="N50" s="29" cm="1">
        <f t="array" ref="N50">-SUMPRODUCT((B$2:B$167=B50)*((C$2:C$167&lt;C50)+(C$2:C$167=C50)*(ROW(G$2:G$167)&lt;=ROW(G50)))*G$2:G$167)</f>
        <v>10311.318458555503</v>
      </c>
      <c r="O50" s="29" cm="1">
        <f t="array" ref="O50">-SUMPRODUCT((B$2:B$167=B50)*((C$2:C$167&lt;C50)+(C$2:C$167=C50)*(ROW(I$2:I$167)&lt;=ROW(I50)))*I$2:I$167)</f>
        <v>212721</v>
      </c>
      <c r="P50" s="29">
        <f>ROUND(テーブル10[[#This Row],[為替レート]]*テーブル10[[#This Row],[元残高]],0)</f>
        <v>212722</v>
      </c>
      <c r="Q50" s="42">
        <f>テーブル10[[#This Row],[円残高]]-テーブル10[[#This Row],[円残高_時価]]</f>
        <v>-1</v>
      </c>
    </row>
    <row r="51" spans="1:17" ht="18" customHeight="1" x14ac:dyDescent="0.25">
      <c r="A51" s="20" t="s">
        <v>107</v>
      </c>
      <c r="B51" s="20" t="s">
        <v>152</v>
      </c>
      <c r="C51" s="21">
        <v>45548</v>
      </c>
      <c r="D51" s="36" t="s">
        <v>4</v>
      </c>
      <c r="E51" s="20" t="s">
        <v>527</v>
      </c>
      <c r="F51" s="20" t="s">
        <v>1</v>
      </c>
      <c r="G51" s="25">
        <v>150</v>
      </c>
      <c r="H51" s="11">
        <v>20.63</v>
      </c>
      <c r="I51" s="24">
        <f>ROUND(テーブル10[[#This Row],[元金額]]*テーブル10[[#This Row],[為替レート]],0)</f>
        <v>3095</v>
      </c>
      <c r="J51" s="20"/>
      <c r="K51" s="32" t="s">
        <v>23</v>
      </c>
      <c r="L51" s="28"/>
      <c r="M51" s="20" t="s">
        <v>554</v>
      </c>
      <c r="N51" s="29" cm="1">
        <f t="array" ref="N51">-SUMPRODUCT((B$2:B$167=B51)*((C$2:C$167&lt;C51)+(C$2:C$167=C51)*(ROW(G$2:G$167)&lt;=ROW(G51)))*G$2:G$167)</f>
        <v>10161.318458555503</v>
      </c>
      <c r="O51" s="29" cm="1">
        <f t="array" ref="O51">-SUMPRODUCT((B$2:B$167=B51)*((C$2:C$167&lt;C51)+(C$2:C$167=C51)*(ROW(I$2:I$167)&lt;=ROW(I51)))*I$2:I$167)</f>
        <v>209626</v>
      </c>
      <c r="P51" s="29">
        <f>ROUND(テーブル10[[#This Row],[為替レート]]*テーブル10[[#This Row],[元残高]],0)</f>
        <v>209628</v>
      </c>
      <c r="Q51" s="42">
        <f>テーブル10[[#This Row],[円残高]]-テーブル10[[#This Row],[円残高_時価]]</f>
        <v>-2</v>
      </c>
    </row>
    <row r="52" spans="1:17" ht="18" customHeight="1" x14ac:dyDescent="0.25">
      <c r="A52" s="20" t="s">
        <v>107</v>
      </c>
      <c r="B52" s="20" t="s">
        <v>152</v>
      </c>
      <c r="C52" s="21">
        <v>45553</v>
      </c>
      <c r="D52" s="36" t="s">
        <v>4</v>
      </c>
      <c r="E52" s="20" t="s">
        <v>527</v>
      </c>
      <c r="F52" s="20" t="s">
        <v>1</v>
      </c>
      <c r="G52" s="25">
        <v>900</v>
      </c>
      <c r="H52" s="11">
        <v>20.63</v>
      </c>
      <c r="I52" s="24">
        <f>ROUND(テーブル10[[#This Row],[元金額]]*テーブル10[[#This Row],[為替レート]],0)</f>
        <v>18567</v>
      </c>
      <c r="J52" s="20" t="s">
        <v>499</v>
      </c>
      <c r="K52" s="32" t="s">
        <v>23</v>
      </c>
      <c r="L52" s="28"/>
      <c r="M52" s="20" t="s">
        <v>548</v>
      </c>
      <c r="N52" s="29" cm="1">
        <f t="array" ref="N52">-SUMPRODUCT((B$2:B$167=B52)*((C$2:C$167&lt;C52)+(C$2:C$167=C52)*(ROW(G$2:G$167)&lt;=ROW(G52)))*G$2:G$167)</f>
        <v>9261.3184585555027</v>
      </c>
      <c r="O52" s="29" cm="1">
        <f t="array" ref="O52">-SUMPRODUCT((B$2:B$167=B52)*((C$2:C$167&lt;C52)+(C$2:C$167=C52)*(ROW(I$2:I$167)&lt;=ROW(I52)))*I$2:I$167)</f>
        <v>191059</v>
      </c>
      <c r="P52" s="29">
        <f>ROUND(テーブル10[[#This Row],[為替レート]]*テーブル10[[#This Row],[元残高]],0)</f>
        <v>191061</v>
      </c>
      <c r="Q52" s="42">
        <f>テーブル10[[#This Row],[円残高]]-テーブル10[[#This Row],[円残高_時価]]</f>
        <v>-2</v>
      </c>
    </row>
    <row r="53" spans="1:17" ht="18" customHeight="1" x14ac:dyDescent="0.25">
      <c r="A53" s="20" t="s">
        <v>107</v>
      </c>
      <c r="B53" s="20" t="s">
        <v>152</v>
      </c>
      <c r="C53" s="21">
        <v>45560</v>
      </c>
      <c r="D53" s="36" t="s">
        <v>4</v>
      </c>
      <c r="E53" s="20" t="s">
        <v>50</v>
      </c>
      <c r="F53" s="20" t="s">
        <v>1</v>
      </c>
      <c r="G53" s="25">
        <v>12120</v>
      </c>
      <c r="H53" s="11">
        <v>20.63</v>
      </c>
      <c r="I53" s="24">
        <f>ROUND(テーブル10[[#This Row],[元金額]]*テーブル10[[#This Row],[為替レート]],0)</f>
        <v>250036</v>
      </c>
      <c r="J53" s="20" t="s">
        <v>499</v>
      </c>
      <c r="K53" s="32" t="s">
        <v>24</v>
      </c>
      <c r="L53" s="11"/>
      <c r="M53" s="20" t="s">
        <v>549</v>
      </c>
      <c r="N53" s="29" cm="1">
        <f t="array" ref="N53">-SUMPRODUCT((B$2:B$167=B53)*((C$2:C$167&lt;C53)+(C$2:C$167=C53)*(ROW(G$2:G$167)&lt;=ROW(G53)))*G$2:G$167)</f>
        <v>-2858.6815414444973</v>
      </c>
      <c r="O53" s="29" cm="1">
        <f t="array" ref="O53">-SUMPRODUCT((B$2:B$167=B53)*((C$2:C$167&lt;C53)+(C$2:C$167=C53)*(ROW(I$2:I$167)&lt;=ROW(I53)))*I$2:I$167)</f>
        <v>-58977</v>
      </c>
      <c r="P53" s="29">
        <f>ROUND(テーブル10[[#This Row],[為替レート]]*テーブル10[[#This Row],[元残高]],0)</f>
        <v>-58975</v>
      </c>
      <c r="Q53" s="42">
        <f>テーブル10[[#This Row],[円残高]]-テーブル10[[#This Row],[円残高_時価]]</f>
        <v>-2</v>
      </c>
    </row>
    <row r="54" spans="1:17" ht="18" customHeight="1" x14ac:dyDescent="0.25">
      <c r="A54" s="20" t="s">
        <v>107</v>
      </c>
      <c r="B54" s="20" t="s">
        <v>152</v>
      </c>
      <c r="C54" s="21">
        <v>45560</v>
      </c>
      <c r="D54" s="36" t="s">
        <v>4</v>
      </c>
      <c r="E54" s="20" t="s">
        <v>15</v>
      </c>
      <c r="F54" s="20" t="s">
        <v>1</v>
      </c>
      <c r="G54" s="25">
        <v>380</v>
      </c>
      <c r="H54" s="11">
        <v>20.63</v>
      </c>
      <c r="I54" s="24">
        <f>ROUND(テーブル10[[#This Row],[元金額]]*テーブル10[[#This Row],[為替レート]],0)</f>
        <v>7839</v>
      </c>
      <c r="J54" s="20" t="s">
        <v>498</v>
      </c>
      <c r="K54" s="32">
        <v>26019114575</v>
      </c>
      <c r="L54" s="11"/>
      <c r="M54" s="47" t="s">
        <v>672</v>
      </c>
      <c r="N54" s="29" cm="1">
        <f t="array" ref="N54">-SUMPRODUCT((B$2:B$167=B54)*((C$2:C$167&lt;C54)+(C$2:C$167=C54)*(ROW(G$2:G$167)&lt;=ROW(G54)))*G$2:G$167)</f>
        <v>-3238.6815414444973</v>
      </c>
      <c r="O54" s="29" cm="1">
        <f t="array" ref="O54">-SUMPRODUCT((B$2:B$167=B54)*((C$2:C$167&lt;C54)+(C$2:C$167=C54)*(ROW(I$2:I$167)&lt;=ROW(I54)))*I$2:I$167)</f>
        <v>-66816</v>
      </c>
      <c r="P54" s="29">
        <f>ROUND(テーブル10[[#This Row],[為替レート]]*テーブル10[[#This Row],[元残高]],0)</f>
        <v>-66814</v>
      </c>
      <c r="Q54" s="42">
        <f>テーブル10[[#This Row],[円残高]]-テーブル10[[#This Row],[円残高_時価]]</f>
        <v>-2</v>
      </c>
    </row>
    <row r="55" spans="1:17" ht="18" customHeight="1" x14ac:dyDescent="0.25">
      <c r="A55" s="20" t="s">
        <v>107</v>
      </c>
      <c r="B55" s="20" t="s">
        <v>152</v>
      </c>
      <c r="C55" s="21">
        <v>45560</v>
      </c>
      <c r="D55" s="36" t="s">
        <v>4</v>
      </c>
      <c r="E55" s="20" t="s">
        <v>15</v>
      </c>
      <c r="F55" s="20" t="s">
        <v>1</v>
      </c>
      <c r="G55" s="25">
        <v>568.6</v>
      </c>
      <c r="H55" s="11">
        <v>20.63</v>
      </c>
      <c r="I55" s="24">
        <f>ROUND(テーブル10[[#This Row],[元金額]]*テーブル10[[#This Row],[為替レート]],0)</f>
        <v>11730</v>
      </c>
      <c r="J55" s="20" t="s">
        <v>498</v>
      </c>
      <c r="K55" s="32">
        <v>26019114811</v>
      </c>
      <c r="L55" s="11"/>
      <c r="M55" s="47" t="s">
        <v>673</v>
      </c>
      <c r="N55" s="29" cm="1">
        <f t="array" ref="N55">-SUMPRODUCT((B$2:B$167=B55)*((C$2:C$167&lt;C55)+(C$2:C$167=C55)*(ROW(G$2:G$167)&lt;=ROW(G55)))*G$2:G$167)</f>
        <v>-3807.2815414444972</v>
      </c>
      <c r="O55" s="29" cm="1">
        <f t="array" ref="O55">-SUMPRODUCT((B$2:B$167=B55)*((C$2:C$167&lt;C55)+(C$2:C$167=C55)*(ROW(I$2:I$167)&lt;=ROW(I55)))*I$2:I$167)</f>
        <v>-78546</v>
      </c>
      <c r="P55" s="29">
        <f>ROUND(テーブル10[[#This Row],[為替レート]]*テーブル10[[#This Row],[元残高]],0)</f>
        <v>-78544</v>
      </c>
      <c r="Q55" s="42">
        <f>テーブル10[[#This Row],[円残高]]-テーブル10[[#This Row],[円残高_時価]]</f>
        <v>-2</v>
      </c>
    </row>
    <row r="56" spans="1:17" ht="18" customHeight="1" x14ac:dyDescent="0.25">
      <c r="A56" s="20" t="s">
        <v>107</v>
      </c>
      <c r="B56" s="20" t="s">
        <v>152</v>
      </c>
      <c r="C56" s="21">
        <v>45561</v>
      </c>
      <c r="D56" s="36" t="s">
        <v>169</v>
      </c>
      <c r="E56" s="20"/>
      <c r="F56" s="22" t="s">
        <v>1</v>
      </c>
      <c r="G56" s="25">
        <f>-200000/21.9</f>
        <v>-9132.4200913242021</v>
      </c>
      <c r="H56" s="11">
        <v>21.9</v>
      </c>
      <c r="I56" s="24">
        <f>ROUND(テーブル10[[#This Row],[元金額]]*テーブル10[[#This Row],[為替レート]],0)</f>
        <v>-200000</v>
      </c>
      <c r="J56" s="20"/>
      <c r="K56" s="32"/>
      <c r="L56" s="18" t="s">
        <v>590</v>
      </c>
      <c r="M56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{-9132.4200913242元 * 21.9円/元, }</v>
      </c>
      <c r="N56" s="29" cm="1">
        <f t="array" ref="N56">-SUMPRODUCT((B$2:B$167=B56)*((C$2:C$167&lt;C56)+(C$2:C$167=C56)*(ROW(G$2:G$167)&lt;=ROW(G56)))*G$2:G$167)</f>
        <v>5325.1385498797044</v>
      </c>
      <c r="O56" s="29" cm="1">
        <f t="array" ref="O56">-SUMPRODUCT((B$2:B$167=B56)*((C$2:C$167&lt;C56)+(C$2:C$167=C56)*(ROW(I$2:I$167)&lt;=ROW(I56)))*I$2:I$167)</f>
        <v>121454</v>
      </c>
      <c r="P56" s="29">
        <f>ROUND(テーブル10[[#This Row],[為替レート]]*テーブル10[[#This Row],[元残高]],0)</f>
        <v>116621</v>
      </c>
      <c r="Q56" s="42">
        <f>テーブル10[[#This Row],[円残高]]-テーブル10[[#This Row],[円残高_時価]]</f>
        <v>4833</v>
      </c>
    </row>
    <row r="57" spans="1:17" ht="18" customHeight="1" x14ac:dyDescent="0.25">
      <c r="A57" s="20" t="s">
        <v>107</v>
      </c>
      <c r="B57" s="20" t="s">
        <v>152</v>
      </c>
      <c r="C57" s="21">
        <v>45561</v>
      </c>
      <c r="D57" s="38" t="s">
        <v>145</v>
      </c>
      <c r="E57" s="21"/>
      <c r="F57" s="22" t="s">
        <v>1</v>
      </c>
      <c r="G57" s="25">
        <f>-G56*0.02</f>
        <v>182.64840182648405</v>
      </c>
      <c r="H57" s="11">
        <v>21.9</v>
      </c>
      <c r="I57" s="24">
        <f>ROUND(テーブル10[[#This Row],[元金額]]*テーブル10[[#This Row],[為替レート]],0)</f>
        <v>4000</v>
      </c>
      <c r="J57" s="35"/>
      <c r="K57" s="32"/>
      <c r="L57" s="39" t="s">
        <v>591</v>
      </c>
      <c r="M57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{182.648401826484元 * 21.9円/元, }</v>
      </c>
      <c r="N57" s="29" cm="1">
        <f t="array" ref="N57">-SUMPRODUCT((B$2:B$167=B57)*((C$2:C$167&lt;C57)+(C$2:C$167=C57)*(ROW(G$2:G$167)&lt;=ROW(G57)))*G$2:G$167)</f>
        <v>5142.4901480532208</v>
      </c>
      <c r="O57" s="29" cm="1">
        <f t="array" ref="O57">-SUMPRODUCT((B$2:B$167=B57)*((C$2:C$167&lt;C57)+(C$2:C$167=C57)*(ROW(I$2:I$167)&lt;=ROW(I57)))*I$2:I$167)</f>
        <v>117454</v>
      </c>
      <c r="P57" s="29">
        <f>ROUND(テーブル10[[#This Row],[為替レート]]*テーブル10[[#This Row],[元残高]],0)</f>
        <v>112621</v>
      </c>
      <c r="Q57" s="42">
        <f>テーブル10[[#This Row],[円残高]]-テーブル10[[#This Row],[円残高_時価]]</f>
        <v>4833</v>
      </c>
    </row>
    <row r="58" spans="1:17" ht="18" customHeight="1" x14ac:dyDescent="0.25">
      <c r="A58" s="20" t="s">
        <v>107</v>
      </c>
      <c r="B58" s="20" t="s">
        <v>152</v>
      </c>
      <c r="C58" s="21">
        <v>45562</v>
      </c>
      <c r="D58" s="36" t="s">
        <v>4</v>
      </c>
      <c r="E58" s="20" t="s">
        <v>50</v>
      </c>
      <c r="F58" s="20" t="s">
        <v>1</v>
      </c>
      <c r="G58" s="25">
        <v>280</v>
      </c>
      <c r="H58" s="11">
        <v>21.9</v>
      </c>
      <c r="I58" s="24">
        <f>ROUND(テーブル10[[#This Row],[元金額]]*テーブル10[[#This Row],[為替レート]],0)</f>
        <v>6132</v>
      </c>
      <c r="J58" s="20"/>
      <c r="K58" s="32" t="s">
        <v>25</v>
      </c>
      <c r="L58" s="28"/>
      <c r="M58" s="34" t="s">
        <v>562</v>
      </c>
      <c r="N58" s="29" cm="1">
        <f t="array" ref="N58">-SUMPRODUCT((B$2:B$167=B58)*((C$2:C$167&lt;C58)+(C$2:C$167=C58)*(ROW(G$2:G$167)&lt;=ROW(G58)))*G$2:G$167)</f>
        <v>4862.4901480532208</v>
      </c>
      <c r="O58" s="29" cm="1">
        <f t="array" ref="O58">-SUMPRODUCT((B$2:B$167=B58)*((C$2:C$167&lt;C58)+(C$2:C$167=C58)*(ROW(I$2:I$167)&lt;=ROW(I58)))*I$2:I$167)</f>
        <v>111322</v>
      </c>
      <c r="P58" s="29">
        <f>ROUND(テーブル10[[#This Row],[為替レート]]*テーブル10[[#This Row],[元残高]],0)</f>
        <v>106489</v>
      </c>
      <c r="Q58" s="42">
        <f>テーブル10[[#This Row],[円残高]]-テーブル10[[#This Row],[円残高_時価]]</f>
        <v>4833</v>
      </c>
    </row>
    <row r="59" spans="1:17" ht="18" customHeight="1" x14ac:dyDescent="0.25">
      <c r="A59" s="20" t="s">
        <v>107</v>
      </c>
      <c r="B59" s="20" t="s">
        <v>152</v>
      </c>
      <c r="C59" s="21">
        <v>45562</v>
      </c>
      <c r="D59" s="36" t="s">
        <v>29</v>
      </c>
      <c r="E59" s="20"/>
      <c r="F59" s="20" t="s">
        <v>1</v>
      </c>
      <c r="G59" s="25">
        <v>227</v>
      </c>
      <c r="H59" s="11">
        <v>21.9</v>
      </c>
      <c r="I59" s="24">
        <f>ROUND(テーブル10[[#This Row],[元金額]]*テーブル10[[#This Row],[為替レート]],0)</f>
        <v>4971</v>
      </c>
      <c r="J59" s="20"/>
      <c r="K59" s="32" t="s">
        <v>552</v>
      </c>
      <c r="L59" s="17"/>
      <c r="M59" s="20" t="s">
        <v>553</v>
      </c>
      <c r="N59" s="29" cm="1">
        <f t="array" ref="N59">-SUMPRODUCT((B$2:B$167=B59)*((C$2:C$167&lt;C59)+(C$2:C$167=C59)*(ROW(G$2:G$167)&lt;=ROW(G59)))*G$2:G$167)</f>
        <v>4635.4901480532208</v>
      </c>
      <c r="O59" s="29" cm="1">
        <f t="array" ref="O59">-SUMPRODUCT((B$2:B$167=B59)*((C$2:C$167&lt;C59)+(C$2:C$167=C59)*(ROW(I$2:I$167)&lt;=ROW(I59)))*I$2:I$167)</f>
        <v>106351</v>
      </c>
      <c r="P59" s="29">
        <f>ROUND(テーブル10[[#This Row],[為替レート]]*テーブル10[[#This Row],[元残高]],0)</f>
        <v>101517</v>
      </c>
      <c r="Q59" s="42">
        <f>テーブル10[[#This Row],[円残高]]-テーブル10[[#This Row],[円残高_時価]]</f>
        <v>4834</v>
      </c>
    </row>
    <row r="60" spans="1:17" ht="18" customHeight="1" x14ac:dyDescent="0.25">
      <c r="A60" s="20" t="s">
        <v>107</v>
      </c>
      <c r="B60" s="20" t="s">
        <v>152</v>
      </c>
      <c r="C60" s="21">
        <v>45581</v>
      </c>
      <c r="D60" s="36" t="s">
        <v>4</v>
      </c>
      <c r="E60" s="20" t="s">
        <v>15</v>
      </c>
      <c r="F60" s="20" t="s">
        <v>1</v>
      </c>
      <c r="G60" s="25">
        <v>601.20000000000005</v>
      </c>
      <c r="H60" s="11">
        <v>21.9</v>
      </c>
      <c r="I60" s="24">
        <f>ROUND(テーブル10[[#This Row],[元金額]]*テーブル10[[#This Row],[為替レート]],0)</f>
        <v>13166</v>
      </c>
      <c r="J60" s="20" t="s">
        <v>498</v>
      </c>
      <c r="K60" s="32">
        <v>26020203580</v>
      </c>
      <c r="L60" s="11"/>
      <c r="M60" s="47" t="s">
        <v>675</v>
      </c>
      <c r="N60" s="29" cm="1">
        <f t="array" ref="N60">-SUMPRODUCT((B$2:B$167=B60)*((C$2:C$167&lt;C60)+(C$2:C$167=C60)*(ROW(G$2:G$167)&lt;=ROW(G60)))*G$2:G$167)</f>
        <v>4034.2901480532209</v>
      </c>
      <c r="O60" s="29" cm="1">
        <f t="array" ref="O60">-SUMPRODUCT((B$2:B$167=B60)*((C$2:C$167&lt;C60)+(C$2:C$167=C60)*(ROW(I$2:I$167)&lt;=ROW(I60)))*I$2:I$167)</f>
        <v>93185</v>
      </c>
      <c r="P60" s="29">
        <f>ROUND(テーブル10[[#This Row],[為替レート]]*テーブル10[[#This Row],[元残高]],0)</f>
        <v>88351</v>
      </c>
      <c r="Q60" s="42">
        <f>テーブル10[[#This Row],[円残高]]-テーブル10[[#This Row],[円残高_時価]]</f>
        <v>4834</v>
      </c>
    </row>
    <row r="61" spans="1:17" ht="18" customHeight="1" x14ac:dyDescent="0.25">
      <c r="A61" s="20" t="s">
        <v>107</v>
      </c>
      <c r="B61" s="20" t="s">
        <v>152</v>
      </c>
      <c r="C61" s="21">
        <v>45593</v>
      </c>
      <c r="D61" s="36" t="s">
        <v>4</v>
      </c>
      <c r="E61" s="20" t="s">
        <v>527</v>
      </c>
      <c r="F61" s="20" t="s">
        <v>1</v>
      </c>
      <c r="G61" s="25">
        <v>150</v>
      </c>
      <c r="H61" s="11">
        <v>21.9</v>
      </c>
      <c r="I61" s="24">
        <f>ROUND(テーブル10[[#This Row],[元金額]]*テーブル10[[#This Row],[為替レート]],0)</f>
        <v>3285</v>
      </c>
      <c r="J61" s="20"/>
      <c r="K61" s="32" t="s">
        <v>24</v>
      </c>
      <c r="L61" s="27"/>
      <c r="M61" s="20" t="s">
        <v>555</v>
      </c>
      <c r="N61" s="29" cm="1">
        <f t="array" ref="N61">-SUMPRODUCT((B$2:B$167=B61)*((C$2:C$167&lt;C61)+(C$2:C$167=C61)*(ROW(G$2:G$167)&lt;=ROW(G61)))*G$2:G$167)</f>
        <v>3884.2901480532209</v>
      </c>
      <c r="O61" s="29" cm="1">
        <f t="array" ref="O61">-SUMPRODUCT((B$2:B$167=B61)*((C$2:C$167&lt;C61)+(C$2:C$167=C61)*(ROW(I$2:I$167)&lt;=ROW(I61)))*I$2:I$167)</f>
        <v>89900</v>
      </c>
      <c r="P61" s="29">
        <f>ROUND(テーブル10[[#This Row],[為替レート]]*テーブル10[[#This Row],[元残高]],0)</f>
        <v>85066</v>
      </c>
      <c r="Q61" s="42">
        <f>テーブル10[[#This Row],[円残高]]-テーブル10[[#This Row],[円残高_時価]]</f>
        <v>4834</v>
      </c>
    </row>
    <row r="62" spans="1:17" ht="18" customHeight="1" x14ac:dyDescent="0.25">
      <c r="A62" s="20" t="s">
        <v>107</v>
      </c>
      <c r="B62" s="20" t="s">
        <v>152</v>
      </c>
      <c r="C62" s="21">
        <v>45594</v>
      </c>
      <c r="D62" s="36" t="s">
        <v>4</v>
      </c>
      <c r="E62" s="20" t="s">
        <v>527</v>
      </c>
      <c r="F62" s="20" t="s">
        <v>1</v>
      </c>
      <c r="G62" s="25">
        <v>475</v>
      </c>
      <c r="H62" s="11">
        <v>21.9</v>
      </c>
      <c r="I62" s="24">
        <f>ROUND(テーブル10[[#This Row],[元金額]]*テーブル10[[#This Row],[為替レート]],0)</f>
        <v>10403</v>
      </c>
      <c r="J62" s="20"/>
      <c r="K62" s="32" t="s">
        <v>24</v>
      </c>
      <c r="L62" s="27"/>
      <c r="M62" s="20" t="s">
        <v>556</v>
      </c>
      <c r="N62" s="29" cm="1">
        <f t="array" ref="N62">-SUMPRODUCT((B$2:B$167=B62)*((C$2:C$167&lt;C62)+(C$2:C$167=C62)*(ROW(G$2:G$167)&lt;=ROW(G62)))*G$2:G$167)</f>
        <v>3409.2901480532209</v>
      </c>
      <c r="O62" s="29" cm="1">
        <f t="array" ref="O62">-SUMPRODUCT((B$2:B$167=B62)*((C$2:C$167&lt;C62)+(C$2:C$167=C62)*(ROW(I$2:I$167)&lt;=ROW(I62)))*I$2:I$167)</f>
        <v>79497</v>
      </c>
      <c r="P62" s="29">
        <f>ROUND(テーブル10[[#This Row],[為替レート]]*テーブル10[[#This Row],[元残高]],0)</f>
        <v>74663</v>
      </c>
      <c r="Q62" s="42">
        <f>テーブル10[[#This Row],[円残高]]-テーブル10[[#This Row],[円残高_時価]]</f>
        <v>4834</v>
      </c>
    </row>
    <row r="63" spans="1:17" ht="18" customHeight="1" x14ac:dyDescent="0.25">
      <c r="A63" s="20" t="s">
        <v>107</v>
      </c>
      <c r="B63" s="20" t="s">
        <v>152</v>
      </c>
      <c r="C63" s="21">
        <v>45595</v>
      </c>
      <c r="D63" s="36" t="s">
        <v>4</v>
      </c>
      <c r="E63" s="20" t="s">
        <v>527</v>
      </c>
      <c r="F63" s="20" t="s">
        <v>1</v>
      </c>
      <c r="G63" s="25">
        <v>450</v>
      </c>
      <c r="H63" s="11">
        <v>21.9</v>
      </c>
      <c r="I63" s="24">
        <f>ROUND(テーブル10[[#This Row],[元金額]]*テーブル10[[#This Row],[為替レート]],0)</f>
        <v>9855</v>
      </c>
      <c r="J63" s="20"/>
      <c r="K63" s="32" t="s">
        <v>24</v>
      </c>
      <c r="L63" s="27"/>
      <c r="M63" s="20" t="s">
        <v>557</v>
      </c>
      <c r="N63" s="29" cm="1">
        <f t="array" ref="N63">-SUMPRODUCT((B$2:B$167=B63)*((C$2:C$167&lt;C63)+(C$2:C$167=C63)*(ROW(G$2:G$167)&lt;=ROW(G63)))*G$2:G$167)</f>
        <v>2959.2901480532209</v>
      </c>
      <c r="O63" s="29" cm="1">
        <f t="array" ref="O63">-SUMPRODUCT((B$2:B$167=B63)*((C$2:C$167&lt;C63)+(C$2:C$167=C63)*(ROW(I$2:I$167)&lt;=ROW(I63)))*I$2:I$167)</f>
        <v>69642</v>
      </c>
      <c r="P63" s="29">
        <f>ROUND(テーブル10[[#This Row],[為替レート]]*テーブル10[[#This Row],[元残高]],0)</f>
        <v>64808</v>
      </c>
      <c r="Q63" s="42">
        <f>テーブル10[[#This Row],[円残高]]-テーブル10[[#This Row],[円残高_時価]]</f>
        <v>4834</v>
      </c>
    </row>
    <row r="64" spans="1:17" ht="18" customHeight="1" x14ac:dyDescent="0.25">
      <c r="A64" s="20" t="s">
        <v>107</v>
      </c>
      <c r="B64" s="20" t="s">
        <v>152</v>
      </c>
      <c r="C64" s="21">
        <v>45596</v>
      </c>
      <c r="D64" s="36" t="s">
        <v>4</v>
      </c>
      <c r="E64" s="20" t="s">
        <v>527</v>
      </c>
      <c r="F64" s="20" t="s">
        <v>1</v>
      </c>
      <c r="G64" s="25">
        <v>225</v>
      </c>
      <c r="H64" s="11">
        <v>21.9</v>
      </c>
      <c r="I64" s="24">
        <f>ROUND(テーブル10[[#This Row],[元金額]]*テーブル10[[#This Row],[為替レート]],0)</f>
        <v>4928</v>
      </c>
      <c r="J64" s="20"/>
      <c r="K64" s="32" t="s">
        <v>24</v>
      </c>
      <c r="L64" s="27"/>
      <c r="M64" s="20" t="s">
        <v>558</v>
      </c>
      <c r="N64" s="29" cm="1">
        <f t="array" ref="N64">-SUMPRODUCT((B$2:B$167=B64)*((C$2:C$167&lt;C64)+(C$2:C$167=C64)*(ROW(G$2:G$167)&lt;=ROW(G64)))*G$2:G$167)</f>
        <v>2734.2901480532209</v>
      </c>
      <c r="O64" s="29" cm="1">
        <f t="array" ref="O64">-SUMPRODUCT((B$2:B$167=B64)*((C$2:C$167&lt;C64)+(C$2:C$167=C64)*(ROW(I$2:I$167)&lt;=ROW(I64)))*I$2:I$167)</f>
        <v>64714</v>
      </c>
      <c r="P64" s="29">
        <f>ROUND(テーブル10[[#This Row],[為替レート]]*テーブル10[[#This Row],[元残高]],0)</f>
        <v>59881</v>
      </c>
      <c r="Q64" s="42">
        <f>テーブル10[[#This Row],[円残高]]-テーブル10[[#This Row],[円残高_時価]]</f>
        <v>4833</v>
      </c>
    </row>
    <row r="65" spans="1:20" ht="18" customHeight="1" x14ac:dyDescent="0.25">
      <c r="A65" s="20" t="s">
        <v>107</v>
      </c>
      <c r="B65" s="20" t="s">
        <v>152</v>
      </c>
      <c r="C65" s="21">
        <v>45597</v>
      </c>
      <c r="D65" s="36" t="s">
        <v>4</v>
      </c>
      <c r="E65" s="20" t="s">
        <v>527</v>
      </c>
      <c r="F65" s="20" t="s">
        <v>1</v>
      </c>
      <c r="G65" s="25">
        <v>25</v>
      </c>
      <c r="H65" s="11">
        <v>21.9</v>
      </c>
      <c r="I65" s="24">
        <f>ROUND(テーブル10[[#This Row],[元金額]]*テーブル10[[#This Row],[為替レート]],0)</f>
        <v>548</v>
      </c>
      <c r="J65" s="20"/>
      <c r="K65" s="32" t="s">
        <v>24</v>
      </c>
      <c r="L65" s="27"/>
      <c r="M65" s="20" t="s">
        <v>559</v>
      </c>
      <c r="N65" s="29" cm="1">
        <f t="array" ref="N65">-SUMPRODUCT((B$2:B$167=B65)*((C$2:C$167&lt;C65)+(C$2:C$167=C65)*(ROW(G$2:G$167)&lt;=ROW(G65)))*G$2:G$167)</f>
        <v>2709.2901480532209</v>
      </c>
      <c r="O65" s="29" cm="1">
        <f t="array" ref="O65">-SUMPRODUCT((B$2:B$167=B65)*((C$2:C$167&lt;C65)+(C$2:C$167=C65)*(ROW(I$2:I$167)&lt;=ROW(I65)))*I$2:I$167)</f>
        <v>64166</v>
      </c>
      <c r="P65" s="29">
        <f>ROUND(テーブル10[[#This Row],[為替レート]]*テーブル10[[#This Row],[元残高]],0)</f>
        <v>59333</v>
      </c>
      <c r="Q65" s="42">
        <f>テーブル10[[#This Row],[円残高]]-テーブル10[[#This Row],[円残高_時価]]</f>
        <v>4833</v>
      </c>
    </row>
    <row r="66" spans="1:20" ht="18" customHeight="1" x14ac:dyDescent="0.25">
      <c r="A66" s="20" t="s">
        <v>107</v>
      </c>
      <c r="B66" s="20" t="s">
        <v>152</v>
      </c>
      <c r="C66" s="21">
        <v>45615</v>
      </c>
      <c r="D66" s="36" t="s">
        <v>4</v>
      </c>
      <c r="E66" s="20" t="s">
        <v>151</v>
      </c>
      <c r="F66" s="20" t="s">
        <v>1</v>
      </c>
      <c r="G66" s="25">
        <v>23</v>
      </c>
      <c r="H66" s="11">
        <v>21.9</v>
      </c>
      <c r="I66" s="24">
        <f>ROUND(テーブル10[[#This Row],[元金額]]*テーブル10[[#This Row],[為替レート]],0)</f>
        <v>504</v>
      </c>
      <c r="J66" s="20"/>
      <c r="K66" s="32" t="s">
        <v>24</v>
      </c>
      <c r="L66" s="27"/>
      <c r="M66" s="20" t="s">
        <v>560</v>
      </c>
      <c r="N66" s="29" cm="1">
        <f t="array" ref="N66">-SUMPRODUCT((B$2:B$167=B66)*((C$2:C$167&lt;C66)+(C$2:C$167=C66)*(ROW(G$2:G$167)&lt;=ROW(G66)))*G$2:G$167)</f>
        <v>2686.2901480532209</v>
      </c>
      <c r="O66" s="29" cm="1">
        <f t="array" ref="O66">-SUMPRODUCT((B$2:B$167=B66)*((C$2:C$167&lt;C66)+(C$2:C$167=C66)*(ROW(I$2:I$167)&lt;=ROW(I66)))*I$2:I$167)</f>
        <v>63662</v>
      </c>
      <c r="P66" s="29">
        <f>ROUND(テーブル10[[#This Row],[為替レート]]*テーブル10[[#This Row],[元残高]],0)</f>
        <v>58830</v>
      </c>
      <c r="Q66" s="42">
        <f>テーブル10[[#This Row],[円残高]]-テーブル10[[#This Row],[円残高_時価]]</f>
        <v>4832</v>
      </c>
    </row>
    <row r="67" spans="1:20" ht="18" customHeight="1" x14ac:dyDescent="0.25">
      <c r="A67" s="20" t="s">
        <v>107</v>
      </c>
      <c r="B67" s="20" t="s">
        <v>152</v>
      </c>
      <c r="C67" s="21">
        <v>45616</v>
      </c>
      <c r="D67" s="36" t="s">
        <v>29</v>
      </c>
      <c r="E67" s="20"/>
      <c r="F67" s="20" t="s">
        <v>1</v>
      </c>
      <c r="G67" s="25">
        <v>235</v>
      </c>
      <c r="H67" s="11">
        <v>21.9</v>
      </c>
      <c r="I67" s="24">
        <f>ROUND(テーブル10[[#This Row],[元金額]]*テーブル10[[#This Row],[為替レート]],0)</f>
        <v>5147</v>
      </c>
      <c r="J67" s="20" t="s">
        <v>498</v>
      </c>
      <c r="K67" s="32" t="s">
        <v>568</v>
      </c>
      <c r="L67" s="27"/>
      <c r="M67" s="20" t="s">
        <v>561</v>
      </c>
      <c r="N67" s="29" cm="1">
        <f t="array" ref="N67">-SUMPRODUCT((B$2:B$167=B67)*((C$2:C$167&lt;C67)+(C$2:C$167=C67)*(ROW(G$2:G$167)&lt;=ROW(G67)))*G$2:G$167)</f>
        <v>2451.2901480532209</v>
      </c>
      <c r="O67" s="29" cm="1">
        <f t="array" ref="O67">-SUMPRODUCT((B$2:B$167=B67)*((C$2:C$167&lt;C67)+(C$2:C$167=C67)*(ROW(I$2:I$167)&lt;=ROW(I67)))*I$2:I$167)</f>
        <v>58515</v>
      </c>
      <c r="P67" s="29">
        <f>ROUND(テーブル10[[#This Row],[為替レート]]*テーブル10[[#This Row],[元残高]],0)</f>
        <v>53683</v>
      </c>
      <c r="Q67" s="42">
        <f>テーブル10[[#This Row],[円残高]]-テーブル10[[#This Row],[円残高_時価]]</f>
        <v>4832</v>
      </c>
    </row>
    <row r="68" spans="1:20" ht="18" customHeight="1" x14ac:dyDescent="0.25">
      <c r="A68" s="20" t="s">
        <v>107</v>
      </c>
      <c r="B68" s="20" t="s">
        <v>152</v>
      </c>
      <c r="C68" s="21">
        <v>45617</v>
      </c>
      <c r="D68" s="36" t="s">
        <v>4</v>
      </c>
      <c r="E68" s="20" t="s">
        <v>50</v>
      </c>
      <c r="F68" s="20" t="s">
        <v>1</v>
      </c>
      <c r="G68" s="25">
        <v>6070</v>
      </c>
      <c r="H68" s="11">
        <v>21.9</v>
      </c>
      <c r="I68" s="24">
        <f>ROUND(テーブル10[[#This Row],[元金額]]*テーブル10[[#This Row],[為替レート]],0)</f>
        <v>132933</v>
      </c>
      <c r="J68" s="20"/>
      <c r="K68" s="32" t="s">
        <v>28</v>
      </c>
      <c r="L68" s="27"/>
      <c r="M68" s="34" t="s">
        <v>565</v>
      </c>
      <c r="N68" s="29" cm="1">
        <f t="array" ref="N68">-SUMPRODUCT((B$2:B$167=B68)*((C$2:C$167&lt;C68)+(C$2:C$167=C68)*(ROW(G$2:G$167)&lt;=ROW(G68)))*G$2:G$167)</f>
        <v>-3618.7098519467791</v>
      </c>
      <c r="O68" s="29" cm="1">
        <f t="array" ref="O68">-SUMPRODUCT((B$2:B$167=B68)*((C$2:C$167&lt;C68)+(C$2:C$167=C68)*(ROW(I$2:I$167)&lt;=ROW(I68)))*I$2:I$167)</f>
        <v>-74418</v>
      </c>
      <c r="P68" s="29">
        <f>ROUND(テーブル10[[#This Row],[為替レート]]*テーブル10[[#This Row],[元残高]],0)</f>
        <v>-79250</v>
      </c>
      <c r="Q68" s="42">
        <f>テーブル10[[#This Row],[円残高]]-テーブル10[[#This Row],[円残高_時価]]</f>
        <v>4832</v>
      </c>
    </row>
    <row r="69" spans="1:20" ht="18" customHeight="1" x14ac:dyDescent="0.25">
      <c r="A69" s="20" t="s">
        <v>107</v>
      </c>
      <c r="B69" s="20" t="s">
        <v>152</v>
      </c>
      <c r="C69" s="21">
        <v>45623</v>
      </c>
      <c r="D69" s="36" t="s">
        <v>169</v>
      </c>
      <c r="E69" s="20"/>
      <c r="F69" s="22" t="s">
        <v>1</v>
      </c>
      <c r="G69" s="25">
        <f>-300000/22.37</f>
        <v>-13410.818059901654</v>
      </c>
      <c r="H69" s="11">
        <v>22.37</v>
      </c>
      <c r="I69" s="24">
        <f>ROUND(テーブル10[[#This Row],[元金額]]*テーブル10[[#This Row],[為替レート]],0)</f>
        <v>-300000</v>
      </c>
      <c r="J69" s="20"/>
      <c r="K69" s="32"/>
      <c r="L69" s="18" t="s">
        <v>590</v>
      </c>
      <c r="M69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{-13410.8180599017元 * 22.37円/元, }</v>
      </c>
      <c r="N69" s="29" cm="1">
        <f t="array" ref="N69">-SUMPRODUCT((B$2:B$167=B69)*((C$2:C$167&lt;C69)+(C$2:C$167=C69)*(ROW(G$2:G$167)&lt;=ROW(G69)))*G$2:G$167)</f>
        <v>9792.108207954876</v>
      </c>
      <c r="O69" s="29" cm="1">
        <f t="array" ref="O69">-SUMPRODUCT((B$2:B$167=B69)*((C$2:C$167&lt;C69)+(C$2:C$167=C69)*(ROW(I$2:I$167)&lt;=ROW(I69)))*I$2:I$167)</f>
        <v>225582</v>
      </c>
      <c r="P69" s="29">
        <f>ROUND(テーブル10[[#This Row],[為替レート]]*テーブル10[[#This Row],[元残高]],0)</f>
        <v>219049</v>
      </c>
      <c r="Q69" s="42">
        <f>テーブル10[[#This Row],[円残高]]-テーブル10[[#This Row],[円残高_時価]]</f>
        <v>6533</v>
      </c>
    </row>
    <row r="70" spans="1:20" ht="18" customHeight="1" x14ac:dyDescent="0.25">
      <c r="A70" s="20" t="s">
        <v>107</v>
      </c>
      <c r="B70" s="20" t="s">
        <v>152</v>
      </c>
      <c r="C70" s="21">
        <v>45623</v>
      </c>
      <c r="D70" s="38" t="s">
        <v>145</v>
      </c>
      <c r="E70" s="20"/>
      <c r="F70" s="22" t="s">
        <v>1</v>
      </c>
      <c r="G70" s="25">
        <f>-G69*0.02</f>
        <v>268.2163611980331</v>
      </c>
      <c r="H70" s="11">
        <v>22.37</v>
      </c>
      <c r="I70" s="24">
        <f>ROUND(テーブル10[[#This Row],[元金額]]*テーブル10[[#This Row],[為替レート]],0)</f>
        <v>6000</v>
      </c>
      <c r="J70" s="35"/>
      <c r="K70" s="32"/>
      <c r="L70" s="39" t="s">
        <v>591</v>
      </c>
      <c r="M70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{268.216361198033元 * 22.37円/元, }</v>
      </c>
      <c r="N70" s="29" cm="1">
        <f t="array" ref="N70">-SUMPRODUCT((B$2:B$167=B70)*((C$2:C$167&lt;C70)+(C$2:C$167=C70)*(ROW(G$2:G$167)&lt;=ROW(G70)))*G$2:G$167)</f>
        <v>9523.8918467568437</v>
      </c>
      <c r="O70" s="29" cm="1">
        <f t="array" ref="O70">-SUMPRODUCT((B$2:B$167=B70)*((C$2:C$167&lt;C70)+(C$2:C$167=C70)*(ROW(I$2:I$167)&lt;=ROW(I70)))*I$2:I$167)</f>
        <v>219582</v>
      </c>
      <c r="P70" s="29">
        <f>ROUND(テーブル10[[#This Row],[為替レート]]*テーブル10[[#This Row],[元残高]],0)</f>
        <v>213049</v>
      </c>
      <c r="Q70" s="42">
        <f>テーブル10[[#This Row],[円残高]]-テーブル10[[#This Row],[円残高_時価]]</f>
        <v>6533</v>
      </c>
    </row>
    <row r="71" spans="1:20" ht="18" customHeight="1" x14ac:dyDescent="0.25">
      <c r="A71" s="20" t="s">
        <v>107</v>
      </c>
      <c r="B71" s="20" t="s">
        <v>152</v>
      </c>
      <c r="C71" s="21">
        <v>45624</v>
      </c>
      <c r="D71" s="36" t="s">
        <v>4</v>
      </c>
      <c r="E71" s="20" t="s">
        <v>151</v>
      </c>
      <c r="F71" s="20" t="s">
        <v>1</v>
      </c>
      <c r="G71" s="25">
        <v>18</v>
      </c>
      <c r="H71" s="11">
        <v>22.37</v>
      </c>
      <c r="I71" s="24">
        <f>ROUND(テーブル10[[#This Row],[元金額]]*テーブル10[[#This Row],[為替レート]],0)</f>
        <v>403</v>
      </c>
      <c r="J71" s="20"/>
      <c r="K71" s="32" t="s">
        <v>25</v>
      </c>
      <c r="L71" s="28"/>
      <c r="M71" s="20" t="s">
        <v>564</v>
      </c>
      <c r="N71" s="29" cm="1">
        <f t="array" ref="N71">-SUMPRODUCT((B$2:B$167=B71)*((C$2:C$167&lt;C71)+(C$2:C$167=C71)*(ROW(G$2:G$167)&lt;=ROW(G71)))*G$2:G$167)</f>
        <v>9505.8918467568437</v>
      </c>
      <c r="O71" s="29" cm="1">
        <f t="array" ref="O71">-SUMPRODUCT((B$2:B$167=B71)*((C$2:C$167&lt;C71)+(C$2:C$167=C71)*(ROW(I$2:I$167)&lt;=ROW(I71)))*I$2:I$167)</f>
        <v>219179</v>
      </c>
      <c r="P71" s="29">
        <f>ROUND(テーブル10[[#This Row],[為替レート]]*テーブル10[[#This Row],[元残高]],0)</f>
        <v>212647</v>
      </c>
      <c r="Q71" s="42">
        <f>テーブル10[[#This Row],[円残高]]-テーブル10[[#This Row],[円残高_時価]]</f>
        <v>6532</v>
      </c>
    </row>
    <row r="72" spans="1:20" ht="18" customHeight="1" x14ac:dyDescent="0.25">
      <c r="A72" s="20" t="s">
        <v>107</v>
      </c>
      <c r="B72" s="20" t="s">
        <v>152</v>
      </c>
      <c r="C72" s="21">
        <v>45643</v>
      </c>
      <c r="D72" s="36" t="s">
        <v>4</v>
      </c>
      <c r="E72" s="20" t="s">
        <v>15</v>
      </c>
      <c r="F72" s="20" t="s">
        <v>1</v>
      </c>
      <c r="G72" s="25">
        <v>562.5</v>
      </c>
      <c r="H72" s="11">
        <v>22.37</v>
      </c>
      <c r="I72" s="24">
        <f>ROUND(テーブル10[[#This Row],[元金額]]*テーブル10[[#This Row],[為替レート]],0)</f>
        <v>12583</v>
      </c>
      <c r="J72" s="20" t="s">
        <v>498</v>
      </c>
      <c r="K72" s="32" t="s">
        <v>26</v>
      </c>
      <c r="L72" s="27"/>
      <c r="M72" s="48" t="s">
        <v>674</v>
      </c>
      <c r="N72" s="29" cm="1">
        <f t="array" ref="N72">-SUMPRODUCT((B$2:B$167=B72)*((C$2:C$167&lt;C72)+(C$2:C$167=C72)*(ROW(G$2:G$167)&lt;=ROW(G72)))*G$2:G$167)</f>
        <v>8943.3918467568437</v>
      </c>
      <c r="O72" s="29" cm="1">
        <f t="array" ref="O72">-SUMPRODUCT((B$2:B$167=B72)*((C$2:C$167&lt;C72)+(C$2:C$167=C72)*(ROW(I$2:I$167)&lt;=ROW(I72)))*I$2:I$167)</f>
        <v>206596</v>
      </c>
      <c r="P72" s="29">
        <f>ROUND(テーブル10[[#This Row],[為替レート]]*テーブル10[[#This Row],[元残高]],0)</f>
        <v>200064</v>
      </c>
      <c r="Q72" s="42">
        <f>テーブル10[[#This Row],[円残高]]-テーブル10[[#This Row],[円残高_時価]]</f>
        <v>6532</v>
      </c>
    </row>
    <row r="73" spans="1:20" ht="18" customHeight="1" x14ac:dyDescent="0.25">
      <c r="A73" s="20" t="s">
        <v>107</v>
      </c>
      <c r="B73" s="20" t="s">
        <v>152</v>
      </c>
      <c r="C73" s="21">
        <v>45643</v>
      </c>
      <c r="D73" s="36" t="s">
        <v>4</v>
      </c>
      <c r="E73" s="20" t="s">
        <v>15</v>
      </c>
      <c r="F73" s="20" t="s">
        <v>1</v>
      </c>
      <c r="G73" s="25">
        <v>257</v>
      </c>
      <c r="H73" s="11">
        <v>22.37</v>
      </c>
      <c r="I73" s="24">
        <f>ROUND(テーブル10[[#This Row],[元金額]]*テーブル10[[#This Row],[為替レート]],0)</f>
        <v>5749</v>
      </c>
      <c r="J73" s="20" t="s">
        <v>498</v>
      </c>
      <c r="K73" s="32" t="s">
        <v>27</v>
      </c>
      <c r="L73" s="27"/>
      <c r="M73" s="20" t="s">
        <v>566</v>
      </c>
      <c r="N73" s="29" cm="1">
        <f t="array" ref="N73">-SUMPRODUCT((B$2:B$167=B73)*((C$2:C$167&lt;C73)+(C$2:C$167=C73)*(ROW(G$2:G$167)&lt;=ROW(G73)))*G$2:G$167)</f>
        <v>8686.3918467568437</v>
      </c>
      <c r="O73" s="29" cm="1">
        <f t="array" ref="O73">-SUMPRODUCT((B$2:B$167=B73)*((C$2:C$167&lt;C73)+(C$2:C$167=C73)*(ROW(I$2:I$167)&lt;=ROW(I73)))*I$2:I$167)</f>
        <v>200847</v>
      </c>
      <c r="P73" s="29">
        <f>ROUND(テーブル10[[#This Row],[為替レート]]*テーブル10[[#This Row],[元残高]],0)</f>
        <v>194315</v>
      </c>
      <c r="Q73" s="42">
        <f>テーブル10[[#This Row],[円残高]]-テーブル10[[#This Row],[円残高_時価]]</f>
        <v>6532</v>
      </c>
    </row>
    <row r="74" spans="1:20" ht="18" customHeight="1" x14ac:dyDescent="0.25">
      <c r="A74" s="20" t="s">
        <v>107</v>
      </c>
      <c r="B74" s="20" t="s">
        <v>152</v>
      </c>
      <c r="C74" s="21">
        <v>45657</v>
      </c>
      <c r="D74" s="37" t="s">
        <v>501</v>
      </c>
      <c r="E74" s="21"/>
      <c r="F74" s="20" t="s">
        <v>1</v>
      </c>
      <c r="G74" s="25"/>
      <c r="H74" s="41">
        <v>22.37</v>
      </c>
      <c r="I74" s="24">
        <v>6532</v>
      </c>
      <c r="J74" s="35"/>
      <c r="K74" s="32"/>
      <c r="L74" s="24"/>
      <c r="M74" s="40" t="s">
        <v>593</v>
      </c>
      <c r="N74" s="45" cm="1">
        <f t="array" ref="N74">-SUMPRODUCT((B$2:B$167=B74)*((C$2:C$167&lt;C74)+(C$2:C$167=C74)*(ROW(G$2:G$167)&lt;=ROW(G74)))*G$2:G$167)</f>
        <v>8686.3918467568437</v>
      </c>
      <c r="O74" s="29" cm="1">
        <f t="array" ref="O74">-SUMPRODUCT((B$2:B$167=B74)*((C$2:C$167&lt;C74)+(C$2:C$167=C74)*(ROW(I$2:I$167)&lt;=ROW(I74)))*I$2:I$167)</f>
        <v>194315</v>
      </c>
      <c r="P74" s="29">
        <f>ROUND(テーブル10[[#This Row],[為替レート]]*テーブル10[[#This Row],[元残高]],0)</f>
        <v>194315</v>
      </c>
      <c r="Q74" s="42">
        <f>テーブル10[[#This Row],[円残高]]-テーブル10[[#This Row],[円残高_時価]]</f>
        <v>0</v>
      </c>
      <c r="S74" s="19">
        <v>8686.4</v>
      </c>
      <c r="T74" s="11">
        <f>S74*テーブル10[[#This Row],[為替レート]]</f>
        <v>194314.76800000001</v>
      </c>
    </row>
    <row r="75" spans="1:20" ht="18" customHeight="1" x14ac:dyDescent="0.25">
      <c r="A75" s="20" t="s">
        <v>107</v>
      </c>
      <c r="B75" s="20" t="s">
        <v>152</v>
      </c>
      <c r="C75" s="21">
        <v>45663</v>
      </c>
      <c r="D75" s="36" t="s">
        <v>4</v>
      </c>
      <c r="E75" s="20" t="s">
        <v>151</v>
      </c>
      <c r="F75" s="20" t="s">
        <v>1</v>
      </c>
      <c r="G75" s="25">
        <v>18</v>
      </c>
      <c r="H75" s="11">
        <v>22.37</v>
      </c>
      <c r="I75" s="24">
        <f>ROUND(テーブル10[[#This Row],[元金額]]*テーブル10[[#This Row],[為替レート]],0)</f>
        <v>403</v>
      </c>
      <c r="J75" s="20"/>
      <c r="K75" s="32" t="s">
        <v>25</v>
      </c>
      <c r="L75" s="28"/>
      <c r="M75" s="20" t="s">
        <v>567</v>
      </c>
      <c r="N75" s="29" cm="1">
        <f t="array" ref="N75">-SUMPRODUCT((B$2:B$167=B75)*((C$2:C$167&lt;C75)+(C$2:C$167=C75)*(ROW(G$2:G$167)&lt;=ROW(G75)))*G$2:G$167)</f>
        <v>8668.3918467568437</v>
      </c>
      <c r="O75" s="29" cm="1">
        <f t="array" ref="O75">-SUMPRODUCT((B$2:B$167=B75)*((C$2:C$167&lt;C75)+(C$2:C$167=C75)*(ROW(I$2:I$167)&lt;=ROW(I75)))*I$2:I$167)</f>
        <v>193912</v>
      </c>
      <c r="P75" s="29">
        <f>ROUND(テーブル10[[#This Row],[為替レート]]*テーブル10[[#This Row],[元残高]],0)</f>
        <v>193912</v>
      </c>
      <c r="Q75" s="42">
        <f>テーブル10[[#This Row],[円残高]]-テーブル10[[#This Row],[円残高_時価]]</f>
        <v>0</v>
      </c>
    </row>
    <row r="76" spans="1:20" ht="18" customHeight="1" x14ac:dyDescent="0.25">
      <c r="A76" s="20" t="s">
        <v>107</v>
      </c>
      <c r="B76" s="20" t="s">
        <v>152</v>
      </c>
      <c r="C76" s="21">
        <v>45672</v>
      </c>
      <c r="D76" s="36" t="s">
        <v>4</v>
      </c>
      <c r="E76" s="20" t="s">
        <v>527</v>
      </c>
      <c r="F76" s="20" t="s">
        <v>1</v>
      </c>
      <c r="G76" s="25">
        <v>100</v>
      </c>
      <c r="H76" s="11">
        <v>22.37</v>
      </c>
      <c r="I76" s="24">
        <f>ROUND(テーブル10[[#This Row],[元金額]]*テーブル10[[#This Row],[為替レート]],0)</f>
        <v>2237</v>
      </c>
      <c r="J76" s="20"/>
      <c r="K76" s="32" t="s">
        <v>28</v>
      </c>
      <c r="L76" s="27"/>
      <c r="M76" s="34" t="s">
        <v>569</v>
      </c>
      <c r="N76" s="29" cm="1">
        <f t="array" ref="N76">-SUMPRODUCT((B$2:B$167=B76)*((C$2:C$167&lt;C76)+(C$2:C$167=C76)*(ROW(G$2:G$167)&lt;=ROW(G76)))*G$2:G$167)</f>
        <v>8568.3918467568437</v>
      </c>
      <c r="O76" s="29" cm="1">
        <f t="array" ref="O76">-SUMPRODUCT((B$2:B$167=B76)*((C$2:C$167&lt;C76)+(C$2:C$167=C76)*(ROW(I$2:I$167)&lt;=ROW(I76)))*I$2:I$167)</f>
        <v>191675</v>
      </c>
      <c r="P76" s="29">
        <f>ROUND(テーブル10[[#This Row],[為替レート]]*テーブル10[[#This Row],[元残高]],0)</f>
        <v>191675</v>
      </c>
      <c r="Q76" s="42">
        <f>テーブル10[[#This Row],[円残高]]-テーブル10[[#This Row],[円残高_時価]]</f>
        <v>0</v>
      </c>
    </row>
    <row r="77" spans="1:20" ht="18" customHeight="1" x14ac:dyDescent="0.25">
      <c r="A77" s="20" t="s">
        <v>107</v>
      </c>
      <c r="B77" s="20" t="s">
        <v>152</v>
      </c>
      <c r="C77" s="21">
        <v>45673</v>
      </c>
      <c r="D77" s="36" t="s">
        <v>4</v>
      </c>
      <c r="E77" s="20" t="s">
        <v>527</v>
      </c>
      <c r="F77" s="20" t="s">
        <v>1</v>
      </c>
      <c r="G77" s="25">
        <v>25</v>
      </c>
      <c r="H77" s="11">
        <v>22.37</v>
      </c>
      <c r="I77" s="24">
        <f>ROUND(テーブル10[[#This Row],[元金額]]*テーブル10[[#This Row],[為替レート]],0)</f>
        <v>559</v>
      </c>
      <c r="J77" s="20"/>
      <c r="K77" s="32" t="s">
        <v>24</v>
      </c>
      <c r="L77" s="27"/>
      <c r="M77" s="20" t="s">
        <v>570</v>
      </c>
      <c r="N77" s="29" cm="1">
        <f t="array" ref="N77">-SUMPRODUCT((B$2:B$167=B77)*((C$2:C$167&lt;C77)+(C$2:C$167=C77)*(ROW(G$2:G$167)&lt;=ROW(G77)))*G$2:G$167)</f>
        <v>8543.3918467568437</v>
      </c>
      <c r="O77" s="29" cm="1">
        <f t="array" ref="O77">-SUMPRODUCT((B$2:B$167=B77)*((C$2:C$167&lt;C77)+(C$2:C$167=C77)*(ROW(I$2:I$167)&lt;=ROW(I77)))*I$2:I$167)</f>
        <v>191116</v>
      </c>
      <c r="P77" s="29">
        <f>ROUND(テーブル10[[#This Row],[為替レート]]*テーブル10[[#This Row],[元残高]],0)</f>
        <v>191116</v>
      </c>
      <c r="Q77" s="42">
        <f>テーブル10[[#This Row],[円残高]]-テーブル10[[#This Row],[円残高_時価]]</f>
        <v>0</v>
      </c>
    </row>
    <row r="78" spans="1:20" ht="18" customHeight="1" x14ac:dyDescent="0.25">
      <c r="A78" s="20" t="s">
        <v>107</v>
      </c>
      <c r="B78" s="20" t="s">
        <v>152</v>
      </c>
      <c r="C78" s="21">
        <v>45699</v>
      </c>
      <c r="D78" s="36" t="s">
        <v>4</v>
      </c>
      <c r="E78" s="20" t="s">
        <v>527</v>
      </c>
      <c r="F78" s="20" t="s">
        <v>1</v>
      </c>
      <c r="G78" s="25">
        <v>50</v>
      </c>
      <c r="H78" s="11">
        <v>22.37</v>
      </c>
      <c r="I78" s="24">
        <f>ROUND(テーブル10[[#This Row],[元金額]]*テーブル10[[#This Row],[為替レート]],0)</f>
        <v>1119</v>
      </c>
      <c r="J78" s="20"/>
      <c r="K78" s="32" t="s">
        <v>28</v>
      </c>
      <c r="L78" s="28"/>
      <c r="M78" s="20" t="s">
        <v>571</v>
      </c>
      <c r="N78" s="29" cm="1">
        <f t="array" ref="N78">-SUMPRODUCT((B$2:B$167=B78)*((C$2:C$167&lt;C78)+(C$2:C$167=C78)*(ROW(G$2:G$167)&lt;=ROW(G78)))*G$2:G$167)</f>
        <v>8493.3918467568437</v>
      </c>
      <c r="O78" s="29" cm="1">
        <f t="array" ref="O78">-SUMPRODUCT((B$2:B$167=B78)*((C$2:C$167&lt;C78)+(C$2:C$167=C78)*(ROW(I$2:I$167)&lt;=ROW(I78)))*I$2:I$167)</f>
        <v>189997</v>
      </c>
      <c r="P78" s="29">
        <f>ROUND(テーブル10[[#This Row],[為替レート]]*テーブル10[[#This Row],[元残高]],0)</f>
        <v>189997</v>
      </c>
      <c r="Q78" s="42">
        <f>テーブル10[[#This Row],[円残高]]-テーブル10[[#This Row],[円残高_時価]]</f>
        <v>0</v>
      </c>
    </row>
    <row r="79" spans="1:20" ht="18" customHeight="1" x14ac:dyDescent="0.25">
      <c r="A79" s="20" t="s">
        <v>107</v>
      </c>
      <c r="B79" s="20" t="s">
        <v>152</v>
      </c>
      <c r="C79" s="21">
        <v>45700</v>
      </c>
      <c r="D79" s="36" t="s">
        <v>4</v>
      </c>
      <c r="E79" s="20" t="s">
        <v>527</v>
      </c>
      <c r="F79" s="20" t="s">
        <v>1</v>
      </c>
      <c r="G79" s="25">
        <v>150</v>
      </c>
      <c r="H79" s="11">
        <v>22.37</v>
      </c>
      <c r="I79" s="24">
        <f>ROUND(テーブル10[[#This Row],[元金額]]*テーブル10[[#This Row],[為替レート]],0)</f>
        <v>3356</v>
      </c>
      <c r="J79" s="20"/>
      <c r="K79" s="32" t="s">
        <v>24</v>
      </c>
      <c r="L79" s="27"/>
      <c r="M79" s="20" t="s">
        <v>572</v>
      </c>
      <c r="N79" s="29" cm="1">
        <f t="array" ref="N79">-SUMPRODUCT((B$2:B$167=B79)*((C$2:C$167&lt;C79)+(C$2:C$167=C79)*(ROW(G$2:G$167)&lt;=ROW(G79)))*G$2:G$167)</f>
        <v>8343.3918467568437</v>
      </c>
      <c r="O79" s="29" cm="1">
        <f t="array" ref="O79">-SUMPRODUCT((B$2:B$167=B79)*((C$2:C$167&lt;C79)+(C$2:C$167=C79)*(ROW(I$2:I$167)&lt;=ROW(I79)))*I$2:I$167)</f>
        <v>186641</v>
      </c>
      <c r="P79" s="29">
        <f>ROUND(テーブル10[[#This Row],[為替レート]]*テーブル10[[#This Row],[元残高]],0)</f>
        <v>186642</v>
      </c>
      <c r="Q79" s="42">
        <f>テーブル10[[#This Row],[円残高]]-テーブル10[[#This Row],[円残高_時価]]</f>
        <v>-1</v>
      </c>
    </row>
    <row r="80" spans="1:20" ht="18" customHeight="1" x14ac:dyDescent="0.25">
      <c r="A80" s="20" t="s">
        <v>107</v>
      </c>
      <c r="B80" s="20" t="s">
        <v>152</v>
      </c>
      <c r="C80" s="21">
        <v>45705</v>
      </c>
      <c r="D80" s="36" t="s">
        <v>4</v>
      </c>
      <c r="E80" s="20" t="s">
        <v>50</v>
      </c>
      <c r="F80" s="20" t="s">
        <v>1</v>
      </c>
      <c r="G80" s="25">
        <v>2940</v>
      </c>
      <c r="H80" s="11">
        <v>22.37</v>
      </c>
      <c r="I80" s="24">
        <f>ROUND(テーブル10[[#This Row],[元金額]]*テーブル10[[#This Row],[為替レート]],0)</f>
        <v>65768</v>
      </c>
      <c r="J80" s="20"/>
      <c r="K80" s="32" t="s">
        <v>77</v>
      </c>
      <c r="L80" s="27"/>
      <c r="M80" s="34" t="s">
        <v>579</v>
      </c>
      <c r="N80" s="29" cm="1">
        <f t="array" ref="N80">-SUMPRODUCT((B$2:B$167=B80)*((C$2:C$167&lt;C80)+(C$2:C$167=C80)*(ROW(G$2:G$167)&lt;=ROW(G80)))*G$2:G$167)</f>
        <v>5403.3918467568437</v>
      </c>
      <c r="O80" s="29" cm="1">
        <f t="array" ref="O80">-SUMPRODUCT((B$2:B$167=B80)*((C$2:C$167&lt;C80)+(C$2:C$167=C80)*(ROW(I$2:I$167)&lt;=ROW(I80)))*I$2:I$167)</f>
        <v>120873</v>
      </c>
      <c r="P80" s="29">
        <f>ROUND(テーブル10[[#This Row],[為替レート]]*テーブル10[[#This Row],[元残高]],0)</f>
        <v>120874</v>
      </c>
      <c r="Q80" s="42">
        <f>テーブル10[[#This Row],[円残高]]-テーブル10[[#This Row],[円残高_時価]]</f>
        <v>-1</v>
      </c>
    </row>
    <row r="81" spans="1:17" ht="18" customHeight="1" x14ac:dyDescent="0.25">
      <c r="A81" s="20" t="s">
        <v>107</v>
      </c>
      <c r="B81" s="20" t="s">
        <v>152</v>
      </c>
      <c r="C81" s="21">
        <v>45705</v>
      </c>
      <c r="D81" s="36" t="s">
        <v>4</v>
      </c>
      <c r="E81" s="20" t="s">
        <v>50</v>
      </c>
      <c r="F81" s="20" t="s">
        <v>1</v>
      </c>
      <c r="G81" s="25">
        <v>-1000</v>
      </c>
      <c r="H81" s="11">
        <v>22.37</v>
      </c>
      <c r="I81" s="24">
        <f>ROUND(テーブル10[[#This Row],[元金額]]*テーブル10[[#This Row],[為替レート]],0)</f>
        <v>-22370</v>
      </c>
      <c r="J81" s="35"/>
      <c r="K81" s="32" t="s">
        <v>28</v>
      </c>
      <c r="L81" s="43"/>
      <c r="M81" s="20" t="s">
        <v>573</v>
      </c>
      <c r="N81" s="29" cm="1">
        <f t="array" ref="N81">-SUMPRODUCT((B$2:B$167=B81)*((C$2:C$167&lt;C81)+(C$2:C$167=C81)*(ROW(G$2:G$167)&lt;=ROW(G81)))*G$2:G$167)</f>
        <v>6403.3918467568437</v>
      </c>
      <c r="O81" s="29" cm="1">
        <f t="array" ref="O81">-SUMPRODUCT((B$2:B$167=B81)*((C$2:C$167&lt;C81)+(C$2:C$167=C81)*(ROW(I$2:I$167)&lt;=ROW(I81)))*I$2:I$167)</f>
        <v>143243</v>
      </c>
      <c r="P81" s="29">
        <f>ROUND(テーブル10[[#This Row],[為替レート]]*テーブル10[[#This Row],[元残高]],0)</f>
        <v>143244</v>
      </c>
      <c r="Q81" s="42">
        <f>テーブル10[[#This Row],[円残高]]-テーブル10[[#This Row],[円残高_時価]]</f>
        <v>-1</v>
      </c>
    </row>
    <row r="82" spans="1:17" ht="18" customHeight="1" x14ac:dyDescent="0.25">
      <c r="A82" s="20" t="s">
        <v>107</v>
      </c>
      <c r="B82" s="20" t="s">
        <v>152</v>
      </c>
      <c r="C82" s="21">
        <v>45705</v>
      </c>
      <c r="D82" s="36" t="s">
        <v>4</v>
      </c>
      <c r="E82" s="20" t="s">
        <v>527</v>
      </c>
      <c r="F82" s="20" t="s">
        <v>1</v>
      </c>
      <c r="G82" s="25">
        <v>25</v>
      </c>
      <c r="H82" s="11">
        <v>22.37</v>
      </c>
      <c r="I82" s="24">
        <f>ROUND(テーブル10[[#This Row],[元金額]]*テーブル10[[#This Row],[為替レート]],0)</f>
        <v>559</v>
      </c>
      <c r="J82" s="20"/>
      <c r="K82" s="32" t="s">
        <v>28</v>
      </c>
      <c r="L82" s="27"/>
      <c r="M82" s="34" t="s">
        <v>577</v>
      </c>
      <c r="N82" s="29" cm="1">
        <f t="array" ref="N82">-SUMPRODUCT((B$2:B$167=B82)*((C$2:C$167&lt;C82)+(C$2:C$167=C82)*(ROW(G$2:G$167)&lt;=ROW(G82)))*G$2:G$167)</f>
        <v>6378.3918467568437</v>
      </c>
      <c r="O82" s="29" cm="1">
        <f t="array" ref="O82">-SUMPRODUCT((B$2:B$167=B82)*((C$2:C$167&lt;C82)+(C$2:C$167=C82)*(ROW(I$2:I$167)&lt;=ROW(I82)))*I$2:I$167)</f>
        <v>142684</v>
      </c>
      <c r="P82" s="29">
        <f>ROUND(テーブル10[[#This Row],[為替レート]]*テーブル10[[#This Row],[元残高]],0)</f>
        <v>142685</v>
      </c>
      <c r="Q82" s="42">
        <f>テーブル10[[#This Row],[円残高]]-テーブル10[[#This Row],[円残高_時価]]</f>
        <v>-1</v>
      </c>
    </row>
    <row r="83" spans="1:17" ht="18" customHeight="1" x14ac:dyDescent="0.25">
      <c r="A83" s="20" t="s">
        <v>107</v>
      </c>
      <c r="B83" s="20" t="s">
        <v>152</v>
      </c>
      <c r="C83" s="21">
        <v>45705</v>
      </c>
      <c r="D83" s="36" t="s">
        <v>440</v>
      </c>
      <c r="E83" s="20"/>
      <c r="F83" s="20" t="s">
        <v>1</v>
      </c>
      <c r="G83" s="25">
        <v>12</v>
      </c>
      <c r="H83" s="11">
        <v>22.37</v>
      </c>
      <c r="I83" s="24">
        <f>ROUND(テーブル10[[#This Row],[元金額]]*テーブル10[[#This Row],[為替レート]],0)</f>
        <v>268</v>
      </c>
      <c r="J83" s="20"/>
      <c r="K83" s="32"/>
      <c r="L83" s="11"/>
      <c r="M83" s="20" t="s">
        <v>574</v>
      </c>
      <c r="N83" s="29" cm="1">
        <f t="array" ref="N83">-SUMPRODUCT((B$2:B$167=B83)*((C$2:C$167&lt;C83)+(C$2:C$167=C83)*(ROW(G$2:G$167)&lt;=ROW(G83)))*G$2:G$167)</f>
        <v>6366.3918467568437</v>
      </c>
      <c r="O83" s="29" cm="1">
        <f t="array" ref="O83">-SUMPRODUCT((B$2:B$167=B83)*((C$2:C$167&lt;C83)+(C$2:C$167=C83)*(ROW(I$2:I$167)&lt;=ROW(I83)))*I$2:I$167)</f>
        <v>142416</v>
      </c>
      <c r="P83" s="29">
        <f>ROUND(テーブル10[[#This Row],[為替レート]]*テーブル10[[#This Row],[元残高]],0)</f>
        <v>142416</v>
      </c>
      <c r="Q83" s="42">
        <f>テーブル10[[#This Row],[円残高]]-テーブル10[[#This Row],[円残高_時価]]</f>
        <v>0</v>
      </c>
    </row>
    <row r="84" spans="1:17" ht="18" customHeight="1" x14ac:dyDescent="0.25">
      <c r="A84" s="20" t="s">
        <v>107</v>
      </c>
      <c r="B84" s="20" t="s">
        <v>152</v>
      </c>
      <c r="C84" s="21">
        <v>45705</v>
      </c>
      <c r="D84" s="36" t="s">
        <v>29</v>
      </c>
      <c r="E84" s="20"/>
      <c r="F84" s="20" t="s">
        <v>1</v>
      </c>
      <c r="G84" s="25">
        <v>116</v>
      </c>
      <c r="H84" s="11">
        <v>22.37</v>
      </c>
      <c r="I84" s="24">
        <f>ROUND(テーブル10[[#This Row],[元金額]]*テーブル10[[#This Row],[為替レート]],0)</f>
        <v>2595</v>
      </c>
      <c r="J84" s="20"/>
      <c r="K84" s="32" t="s">
        <v>24</v>
      </c>
      <c r="L84" s="27"/>
      <c r="M84" s="20" t="s">
        <v>575</v>
      </c>
      <c r="N84" s="29" cm="1">
        <f t="array" ref="N84">-SUMPRODUCT((B$2:B$167=B84)*((C$2:C$167&lt;C84)+(C$2:C$167=C84)*(ROW(G$2:G$167)&lt;=ROW(G84)))*G$2:G$167)</f>
        <v>6250.3918467568437</v>
      </c>
      <c r="O84" s="29" cm="1">
        <f t="array" ref="O84">-SUMPRODUCT((B$2:B$167=B84)*((C$2:C$167&lt;C84)+(C$2:C$167=C84)*(ROW(I$2:I$167)&lt;=ROW(I84)))*I$2:I$167)</f>
        <v>139821</v>
      </c>
      <c r="P84" s="29">
        <f>ROUND(テーブル10[[#This Row],[為替レート]]*テーブル10[[#This Row],[元残高]],0)</f>
        <v>139821</v>
      </c>
      <c r="Q84" s="42">
        <f>テーブル10[[#This Row],[円残高]]-テーブル10[[#This Row],[円残高_時価]]</f>
        <v>0</v>
      </c>
    </row>
    <row r="85" spans="1:17" ht="18" customHeight="1" x14ac:dyDescent="0.25">
      <c r="A85" s="20" t="s">
        <v>107</v>
      </c>
      <c r="B85" s="20" t="s">
        <v>152</v>
      </c>
      <c r="C85" s="21">
        <v>45707</v>
      </c>
      <c r="D85" s="36" t="s">
        <v>440</v>
      </c>
      <c r="E85" s="20"/>
      <c r="F85" s="20" t="s">
        <v>1</v>
      </c>
      <c r="G85" s="25">
        <v>36</v>
      </c>
      <c r="H85" s="11">
        <v>22.37</v>
      </c>
      <c r="I85" s="24">
        <f>ROUND(テーブル10[[#This Row],[元金額]]*テーブル10[[#This Row],[為替レート]],0)</f>
        <v>805</v>
      </c>
      <c r="J85" s="20"/>
      <c r="K85" s="32"/>
      <c r="L85" s="28"/>
      <c r="M85" s="20" t="s">
        <v>576</v>
      </c>
      <c r="N85" s="29" cm="1">
        <f t="array" ref="N85">-SUMPRODUCT((B$2:B$167=B85)*((C$2:C$167&lt;C85)+(C$2:C$167=C85)*(ROW(G$2:G$167)&lt;=ROW(G85)))*G$2:G$167)</f>
        <v>6214.3918467568437</v>
      </c>
      <c r="O85" s="29" cm="1">
        <f t="array" ref="O85">-SUMPRODUCT((B$2:B$167=B85)*((C$2:C$167&lt;C85)+(C$2:C$167=C85)*(ROW(I$2:I$167)&lt;=ROW(I85)))*I$2:I$167)</f>
        <v>139016</v>
      </c>
      <c r="P85" s="29">
        <f>ROUND(テーブル10[[#This Row],[為替レート]]*テーブル10[[#This Row],[元残高]],0)</f>
        <v>139016</v>
      </c>
      <c r="Q85" s="42">
        <f>テーブル10[[#This Row],[円残高]]-テーブル10[[#This Row],[円残高_時価]]</f>
        <v>0</v>
      </c>
    </row>
    <row r="86" spans="1:17" ht="18" customHeight="1" x14ac:dyDescent="0.25">
      <c r="A86" s="20" t="s">
        <v>107</v>
      </c>
      <c r="B86" s="20" t="s">
        <v>152</v>
      </c>
      <c r="C86" s="21">
        <v>45707</v>
      </c>
      <c r="D86" s="36" t="s">
        <v>4</v>
      </c>
      <c r="E86" s="20" t="s">
        <v>151</v>
      </c>
      <c r="F86" s="20" t="s">
        <v>1</v>
      </c>
      <c r="G86" s="25">
        <v>10.5</v>
      </c>
      <c r="H86" s="11">
        <v>22.37</v>
      </c>
      <c r="I86" s="24">
        <f>ROUND(テーブル10[[#This Row],[元金額]]*テーブル10[[#This Row],[為替レート]],0)</f>
        <v>235</v>
      </c>
      <c r="J86" s="20"/>
      <c r="K86" s="32" t="s">
        <v>25</v>
      </c>
      <c r="L86" s="18"/>
      <c r="M86" s="34" t="s">
        <v>609</v>
      </c>
      <c r="N86" s="29" cm="1">
        <f t="array" ref="N86">-SUMPRODUCT((B$2:B$167=B86)*((C$2:C$167&lt;C86)+(C$2:C$167=C86)*(ROW(G$2:G$167)&lt;=ROW(G86)))*G$2:G$167)</f>
        <v>6203.8918467568437</v>
      </c>
      <c r="O86" s="29" cm="1">
        <f t="array" ref="O86">-SUMPRODUCT((B$2:B$167=B86)*((C$2:C$167&lt;C86)+(C$2:C$167=C86)*(ROW(I$2:I$167)&lt;=ROW(I86)))*I$2:I$167)</f>
        <v>138781</v>
      </c>
      <c r="P86" s="29">
        <f>ROUND(テーブル10[[#This Row],[為替レート]]*テーブル10[[#This Row],[元残高]],0)</f>
        <v>138781</v>
      </c>
      <c r="Q86" s="42">
        <f>テーブル10[[#This Row],[円残高]]-テーブル10[[#This Row],[円残高_時価]]</f>
        <v>0</v>
      </c>
    </row>
    <row r="87" spans="1:17" ht="18" customHeight="1" x14ac:dyDescent="0.25">
      <c r="A87" s="20" t="s">
        <v>107</v>
      </c>
      <c r="B87" s="20" t="s">
        <v>152</v>
      </c>
      <c r="C87" s="21">
        <v>45713</v>
      </c>
      <c r="D87" s="36" t="s">
        <v>4</v>
      </c>
      <c r="E87" s="20" t="s">
        <v>527</v>
      </c>
      <c r="F87" s="20" t="s">
        <v>1</v>
      </c>
      <c r="G87" s="25">
        <v>50</v>
      </c>
      <c r="H87" s="11">
        <v>22.37</v>
      </c>
      <c r="I87" s="24">
        <f>ROUND(テーブル10[[#This Row],[元金額]]*テーブル10[[#This Row],[為替レート]],0)</f>
        <v>1119</v>
      </c>
      <c r="J87" s="20"/>
      <c r="K87" s="32" t="s">
        <v>24</v>
      </c>
      <c r="L87" s="27"/>
      <c r="M87" s="20" t="s">
        <v>580</v>
      </c>
      <c r="N87" s="29" cm="1">
        <f t="array" ref="N87">-SUMPRODUCT((B$2:B$167=B87)*((C$2:C$167&lt;C87)+(C$2:C$167=C87)*(ROW(G$2:G$167)&lt;=ROW(G87)))*G$2:G$167)</f>
        <v>6153.8918467568437</v>
      </c>
      <c r="O87" s="29" cm="1">
        <f t="array" ref="O87">-SUMPRODUCT((B$2:B$167=B87)*((C$2:C$167&lt;C87)+(C$2:C$167=C87)*(ROW(I$2:I$167)&lt;=ROW(I87)))*I$2:I$167)</f>
        <v>137662</v>
      </c>
      <c r="P87" s="29">
        <f>ROUND(テーブル10[[#This Row],[為替レート]]*テーブル10[[#This Row],[元残高]],0)</f>
        <v>137663</v>
      </c>
      <c r="Q87" s="42">
        <f>テーブル10[[#This Row],[円残高]]-テーブル10[[#This Row],[円残高_時価]]</f>
        <v>-1</v>
      </c>
    </row>
    <row r="88" spans="1:17" ht="18" customHeight="1" x14ac:dyDescent="0.25">
      <c r="A88" s="20" t="s">
        <v>107</v>
      </c>
      <c r="B88" s="20" t="s">
        <v>152</v>
      </c>
      <c r="C88" s="21">
        <v>45714</v>
      </c>
      <c r="D88" s="36" t="s">
        <v>4</v>
      </c>
      <c r="E88" s="20" t="s">
        <v>527</v>
      </c>
      <c r="F88" s="20" t="s">
        <v>1</v>
      </c>
      <c r="G88" s="25">
        <v>25</v>
      </c>
      <c r="H88" s="11">
        <v>22.37</v>
      </c>
      <c r="I88" s="24">
        <f>ROUND(テーブル10[[#This Row],[元金額]]*テーブル10[[#This Row],[為替レート]],0)</f>
        <v>559</v>
      </c>
      <c r="J88" s="20"/>
      <c r="K88" s="32" t="s">
        <v>28</v>
      </c>
      <c r="L88" s="27"/>
      <c r="M88" s="20" t="s">
        <v>581</v>
      </c>
      <c r="N88" s="29" cm="1">
        <f t="array" ref="N88">-SUMPRODUCT((B$2:B$167=B88)*((C$2:C$167&lt;C88)+(C$2:C$167=C88)*(ROW(G$2:G$167)&lt;=ROW(G88)))*G$2:G$167)</f>
        <v>6128.8918467568437</v>
      </c>
      <c r="O88" s="29" cm="1">
        <f t="array" ref="O88">-SUMPRODUCT((B$2:B$167=B88)*((C$2:C$167&lt;C88)+(C$2:C$167=C88)*(ROW(I$2:I$167)&lt;=ROW(I88)))*I$2:I$167)</f>
        <v>137103</v>
      </c>
      <c r="P88" s="29">
        <f>ROUND(テーブル10[[#This Row],[為替レート]]*テーブル10[[#This Row],[元残高]],0)</f>
        <v>137103</v>
      </c>
      <c r="Q88" s="42">
        <f>テーブル10[[#This Row],[円残高]]-テーブル10[[#This Row],[円残高_時価]]</f>
        <v>0</v>
      </c>
    </row>
    <row r="89" spans="1:17" ht="18" customHeight="1" x14ac:dyDescent="0.25">
      <c r="A89" s="20" t="s">
        <v>107</v>
      </c>
      <c r="B89" s="20" t="s">
        <v>152</v>
      </c>
      <c r="C89" s="21">
        <v>45715</v>
      </c>
      <c r="D89" s="36" t="s">
        <v>4</v>
      </c>
      <c r="E89" s="20" t="s">
        <v>527</v>
      </c>
      <c r="F89" s="20" t="s">
        <v>1</v>
      </c>
      <c r="G89" s="25">
        <v>25</v>
      </c>
      <c r="H89" s="11">
        <v>22.37</v>
      </c>
      <c r="I89" s="24">
        <f>ROUND(テーブル10[[#This Row],[元金額]]*テーブル10[[#This Row],[為替レート]],0)</f>
        <v>559</v>
      </c>
      <c r="J89" s="20"/>
      <c r="K89" s="32" t="s">
        <v>28</v>
      </c>
      <c r="L89" s="27"/>
      <c r="M89" s="20" t="s">
        <v>582</v>
      </c>
      <c r="N89" s="29" cm="1">
        <f t="array" ref="N89">-SUMPRODUCT((B$2:B$167=B89)*((C$2:C$167&lt;C89)+(C$2:C$167=C89)*(ROW(G$2:G$167)&lt;=ROW(G89)))*G$2:G$167)</f>
        <v>6103.8918467568437</v>
      </c>
      <c r="O89" s="29" cm="1">
        <f t="array" ref="O89">-SUMPRODUCT((B$2:B$167=B89)*((C$2:C$167&lt;C89)+(C$2:C$167=C89)*(ROW(I$2:I$167)&lt;=ROW(I89)))*I$2:I$167)</f>
        <v>136544</v>
      </c>
      <c r="P89" s="29">
        <f>ROUND(テーブル10[[#This Row],[為替レート]]*テーブル10[[#This Row],[元残高]],0)</f>
        <v>136544</v>
      </c>
      <c r="Q89" s="42">
        <f>テーブル10[[#This Row],[円残高]]-テーブル10[[#This Row],[円残高_時価]]</f>
        <v>0</v>
      </c>
    </row>
    <row r="90" spans="1:17" ht="18" customHeight="1" x14ac:dyDescent="0.25">
      <c r="A90" s="20" t="s">
        <v>107</v>
      </c>
      <c r="B90" s="20" t="s">
        <v>152</v>
      </c>
      <c r="C90" s="21">
        <v>45726</v>
      </c>
      <c r="D90" s="36" t="s">
        <v>29</v>
      </c>
      <c r="E90" s="20"/>
      <c r="F90" s="20" t="s">
        <v>1</v>
      </c>
      <c r="G90" s="25">
        <v>50</v>
      </c>
      <c r="H90" s="11">
        <v>22.37</v>
      </c>
      <c r="I90" s="24">
        <f>ROUND(テーブル10[[#This Row],[元金額]]*テーブル10[[#This Row],[為替レート]],0)</f>
        <v>1119</v>
      </c>
      <c r="J90" s="20"/>
      <c r="K90" s="32" t="s">
        <v>578</v>
      </c>
      <c r="L90" s="28"/>
      <c r="M90" s="20" t="s">
        <v>583</v>
      </c>
      <c r="N90" s="29" cm="1">
        <f t="array" ref="N90">-SUMPRODUCT((B$2:B$167=B90)*((C$2:C$167&lt;C90)+(C$2:C$167=C90)*(ROW(G$2:G$167)&lt;=ROW(G90)))*G$2:G$167)</f>
        <v>6053.8918467568437</v>
      </c>
      <c r="O90" s="29" cm="1">
        <f t="array" ref="O90">-SUMPRODUCT((B$2:B$167=B90)*((C$2:C$167&lt;C90)+(C$2:C$167=C90)*(ROW(I$2:I$167)&lt;=ROW(I90)))*I$2:I$167)</f>
        <v>135425</v>
      </c>
      <c r="P90" s="29">
        <f>ROUND(テーブル10[[#This Row],[為替レート]]*テーブル10[[#This Row],[元残高]],0)</f>
        <v>135426</v>
      </c>
      <c r="Q90" s="42">
        <f>テーブル10[[#This Row],[円残高]]-テーブル10[[#This Row],[円残高_時価]]</f>
        <v>-1</v>
      </c>
    </row>
    <row r="91" spans="1:17" ht="18" customHeight="1" x14ac:dyDescent="0.25">
      <c r="A91" s="20" t="s">
        <v>107</v>
      </c>
      <c r="B91" s="20" t="s">
        <v>152</v>
      </c>
      <c r="C91" s="21">
        <v>45727</v>
      </c>
      <c r="D91" s="36" t="s">
        <v>4</v>
      </c>
      <c r="E91" s="20" t="s">
        <v>527</v>
      </c>
      <c r="F91" s="20" t="s">
        <v>1</v>
      </c>
      <c r="G91" s="25">
        <v>175</v>
      </c>
      <c r="H91" s="11">
        <v>22.37</v>
      </c>
      <c r="I91" s="24">
        <f>ROUND(テーブル10[[#This Row],[元金額]]*テーブル10[[#This Row],[為替レート]],0)</f>
        <v>3915</v>
      </c>
      <c r="J91" s="20"/>
      <c r="K91" s="32" t="s">
        <v>77</v>
      </c>
      <c r="L91" s="27"/>
      <c r="M91" s="20" t="s">
        <v>584</v>
      </c>
      <c r="N91" s="29" cm="1">
        <f t="array" ref="N91">-SUMPRODUCT((B$2:B$167=B91)*((C$2:C$167&lt;C91)+(C$2:C$167=C91)*(ROW(G$2:G$167)&lt;=ROW(G91)))*G$2:G$167)</f>
        <v>5878.8918467568437</v>
      </c>
      <c r="O91" s="29" cm="1">
        <f t="array" ref="O91">-SUMPRODUCT((B$2:B$167=B91)*((C$2:C$167&lt;C91)+(C$2:C$167=C91)*(ROW(I$2:I$167)&lt;=ROW(I91)))*I$2:I$167)</f>
        <v>131510</v>
      </c>
      <c r="P91" s="29">
        <f>ROUND(テーブル10[[#This Row],[為替レート]]*テーブル10[[#This Row],[元残高]],0)</f>
        <v>131511</v>
      </c>
      <c r="Q91" s="42">
        <f>テーブル10[[#This Row],[円残高]]-テーブル10[[#This Row],[円残高_時価]]</f>
        <v>-1</v>
      </c>
    </row>
    <row r="92" spans="1:17" ht="18" customHeight="1" x14ac:dyDescent="0.25">
      <c r="A92" s="20" t="s">
        <v>107</v>
      </c>
      <c r="B92" s="20" t="s">
        <v>152</v>
      </c>
      <c r="C92" s="21">
        <v>45728</v>
      </c>
      <c r="D92" s="36" t="s">
        <v>4</v>
      </c>
      <c r="E92" s="20" t="s">
        <v>527</v>
      </c>
      <c r="F92" s="20" t="s">
        <v>1</v>
      </c>
      <c r="G92" s="25">
        <v>400</v>
      </c>
      <c r="H92" s="11">
        <v>22.37</v>
      </c>
      <c r="I92" s="24">
        <f>ROUND(テーブル10[[#This Row],[元金額]]*テーブル10[[#This Row],[為替レート]],0)</f>
        <v>8948</v>
      </c>
      <c r="J92" s="20"/>
      <c r="K92" s="32" t="s">
        <v>77</v>
      </c>
      <c r="L92" s="27"/>
      <c r="M92" s="34" t="s">
        <v>586</v>
      </c>
      <c r="N92" s="29" cm="1">
        <f t="array" ref="N92">-SUMPRODUCT((B$2:B$167=B92)*((C$2:C$167&lt;C92)+(C$2:C$167=C92)*(ROW(G$2:G$167)&lt;=ROW(G92)))*G$2:G$167)</f>
        <v>5478.8918467568437</v>
      </c>
      <c r="O92" s="29" cm="1">
        <f t="array" ref="O92">-SUMPRODUCT((B$2:B$167=B92)*((C$2:C$167&lt;C92)+(C$2:C$167=C92)*(ROW(I$2:I$167)&lt;=ROW(I92)))*I$2:I$167)</f>
        <v>122562</v>
      </c>
      <c r="P92" s="29">
        <f>ROUND(テーブル10[[#This Row],[為替レート]]*テーブル10[[#This Row],[元残高]],0)</f>
        <v>122563</v>
      </c>
      <c r="Q92" s="42">
        <f>テーブル10[[#This Row],[円残高]]-テーブル10[[#This Row],[円残高_時価]]</f>
        <v>-1</v>
      </c>
    </row>
    <row r="93" spans="1:17" ht="18" customHeight="1" x14ac:dyDescent="0.25">
      <c r="A93" s="20" t="s">
        <v>107</v>
      </c>
      <c r="B93" s="20" t="s">
        <v>152</v>
      </c>
      <c r="C93" s="21">
        <v>45733</v>
      </c>
      <c r="D93" s="36" t="s">
        <v>440</v>
      </c>
      <c r="E93" s="20"/>
      <c r="F93" s="20" t="s">
        <v>1</v>
      </c>
      <c r="G93" s="25">
        <v>12</v>
      </c>
      <c r="H93" s="11">
        <v>22.37</v>
      </c>
      <c r="I93" s="24">
        <f>ROUND(テーブル10[[#This Row],[元金額]]*テーブル10[[#This Row],[為替レート]],0)</f>
        <v>268</v>
      </c>
      <c r="J93" s="20"/>
      <c r="K93" s="32"/>
      <c r="L93" s="28"/>
      <c r="M93" s="20" t="s">
        <v>585</v>
      </c>
      <c r="N93" s="29" cm="1">
        <f t="array" ref="N93">-SUMPRODUCT((B$2:B$167=B93)*((C$2:C$167&lt;C93)+(C$2:C$167=C93)*(ROW(G$2:G$167)&lt;=ROW(G93)))*G$2:G$167)</f>
        <v>5466.8918467568437</v>
      </c>
      <c r="O93" s="29" cm="1">
        <f t="array" ref="O93">-SUMPRODUCT((B$2:B$167=B93)*((C$2:C$167&lt;C93)+(C$2:C$167=C93)*(ROW(I$2:I$167)&lt;=ROW(I93)))*I$2:I$167)</f>
        <v>122294</v>
      </c>
      <c r="P93" s="29">
        <f>ROUND(テーブル10[[#This Row],[為替レート]]*テーブル10[[#This Row],[元残高]],0)</f>
        <v>122294</v>
      </c>
      <c r="Q93" s="42">
        <f>テーブル10[[#This Row],[円残高]]-テーブル10[[#This Row],[円残高_時価]]</f>
        <v>0</v>
      </c>
    </row>
    <row r="94" spans="1:17" ht="18" customHeight="1" x14ac:dyDescent="0.25">
      <c r="A94" s="20" t="s">
        <v>107</v>
      </c>
      <c r="B94" s="20" t="s">
        <v>152</v>
      </c>
      <c r="C94" s="21">
        <v>45764</v>
      </c>
      <c r="D94" s="36" t="s">
        <v>4</v>
      </c>
      <c r="E94" s="20" t="s">
        <v>50</v>
      </c>
      <c r="F94" s="20" t="s">
        <v>1</v>
      </c>
      <c r="G94" s="25">
        <v>6420</v>
      </c>
      <c r="H94" s="11">
        <v>22.37</v>
      </c>
      <c r="I94" s="24">
        <f>ROUND(テーブル10[[#This Row],[元金額]]*テーブル10[[#This Row],[為替レート]],0)</f>
        <v>143615</v>
      </c>
      <c r="J94" s="20"/>
      <c r="K94" s="32" t="s">
        <v>78</v>
      </c>
      <c r="L94" s="27"/>
      <c r="M94" s="20" t="s">
        <v>588</v>
      </c>
      <c r="N94" s="29" cm="1">
        <f t="array" ref="N94">-SUMPRODUCT((B$2:B$167=B94)*((C$2:C$167&lt;C94)+(C$2:C$167=C94)*(ROW(G$2:G$167)&lt;=ROW(G94)))*G$2:G$167)</f>
        <v>-953.10815324315627</v>
      </c>
      <c r="O94" s="29" cm="1">
        <f t="array" ref="O94">-SUMPRODUCT((B$2:B$167=B94)*((C$2:C$167&lt;C94)+(C$2:C$167=C94)*(ROW(I$2:I$167)&lt;=ROW(I94)))*I$2:I$167)</f>
        <v>-21321</v>
      </c>
      <c r="P94" s="29">
        <f>ROUND(テーブル10[[#This Row],[為替レート]]*テーブル10[[#This Row],[元残高]],0)</f>
        <v>-21321</v>
      </c>
      <c r="Q94" s="42">
        <f>テーブル10[[#This Row],[円残高]]-テーブル10[[#This Row],[円残高_時価]]</f>
        <v>0</v>
      </c>
    </row>
    <row r="95" spans="1:17" ht="18" customHeight="1" x14ac:dyDescent="0.25">
      <c r="A95" s="20" t="s">
        <v>107</v>
      </c>
      <c r="B95" s="20" t="s">
        <v>152</v>
      </c>
      <c r="C95" s="21">
        <v>45764</v>
      </c>
      <c r="D95" s="36" t="s">
        <v>29</v>
      </c>
      <c r="E95" s="20"/>
      <c r="F95" s="20" t="s">
        <v>1</v>
      </c>
      <c r="G95" s="25">
        <v>100</v>
      </c>
      <c r="H95" s="11">
        <v>22.37</v>
      </c>
      <c r="I95" s="24">
        <f>ROUND(テーブル10[[#This Row],[元金額]]*テーブル10[[#This Row],[為替レート]],0)</f>
        <v>2237</v>
      </c>
      <c r="J95" s="20"/>
      <c r="K95" s="32" t="s">
        <v>587</v>
      </c>
      <c r="L95" s="27"/>
      <c r="M95" s="20" t="s">
        <v>589</v>
      </c>
      <c r="N95" s="29" cm="1">
        <f t="array" ref="N95">-SUMPRODUCT((B$2:B$167=B95)*((C$2:C$167&lt;C95)+(C$2:C$167=C95)*(ROW(G$2:G$167)&lt;=ROW(G95)))*G$2:G$167)</f>
        <v>-1053.1081532431563</v>
      </c>
      <c r="O95" s="29" cm="1">
        <f t="array" ref="O95">-SUMPRODUCT((B$2:B$167=B95)*((C$2:C$167&lt;C95)+(C$2:C$167=C95)*(ROW(I$2:I$167)&lt;=ROW(I95)))*I$2:I$167)</f>
        <v>-23558</v>
      </c>
      <c r="P95" s="29">
        <f>ROUND(テーブル10[[#This Row],[為替レート]]*テーブル10[[#This Row],[元残高]],0)</f>
        <v>-23558</v>
      </c>
      <c r="Q95" s="42">
        <f>テーブル10[[#This Row],[円残高]]-テーブル10[[#This Row],[円残高_時価]]</f>
        <v>0</v>
      </c>
    </row>
    <row r="96" spans="1:17" ht="18" customHeight="1" x14ac:dyDescent="0.25">
      <c r="A96" s="20" t="s">
        <v>107</v>
      </c>
      <c r="B96" s="20" t="s">
        <v>152</v>
      </c>
      <c r="C96" s="21">
        <v>45765</v>
      </c>
      <c r="D96" s="36" t="s">
        <v>169</v>
      </c>
      <c r="E96" s="20"/>
      <c r="F96" s="22" t="s">
        <v>487</v>
      </c>
      <c r="G96" s="25">
        <f>-200000/20.83</f>
        <v>-9601.5362457993288</v>
      </c>
      <c r="H96" s="11">
        <v>20.83</v>
      </c>
      <c r="I96" s="24">
        <f>ROUND(テーブル10[[#This Row],[元金額]]*テーブル10[[#This Row],[為替レート]],0)</f>
        <v>-200000</v>
      </c>
      <c r="J96" s="20"/>
      <c r="K96" s="32"/>
      <c r="L96" s="18" t="s">
        <v>590</v>
      </c>
      <c r="M96" s="20" t="s">
        <v>617</v>
      </c>
      <c r="N96" s="29" cm="1">
        <f t="array" ref="N96">-SUMPRODUCT((B$2:B$167=B96)*((C$2:C$167&lt;C96)+(C$2:C$167=C96)*(ROW(G$2:G$167)&lt;=ROW(G96)))*G$2:G$167)</f>
        <v>8548.4280925561725</v>
      </c>
      <c r="O96" s="29" cm="1">
        <f t="array" ref="O96">-SUMPRODUCT((B$2:B$167=B96)*((C$2:C$167&lt;C96)+(C$2:C$167=C96)*(ROW(I$2:I$167)&lt;=ROW(I96)))*I$2:I$167)</f>
        <v>176442</v>
      </c>
      <c r="P96" s="29">
        <f>ROUND(テーブル10[[#This Row],[為替レート]]*テーブル10[[#This Row],[元残高]],0)</f>
        <v>178064</v>
      </c>
      <c r="Q96" s="42">
        <f>テーブル10[[#This Row],[円残高]]-テーブル10[[#This Row],[円残高_時価]]</f>
        <v>-1622</v>
      </c>
    </row>
    <row r="97" spans="1:17" ht="18" customHeight="1" x14ac:dyDescent="0.25">
      <c r="A97" s="20" t="s">
        <v>107</v>
      </c>
      <c r="B97" s="20" t="s">
        <v>152</v>
      </c>
      <c r="C97" s="21">
        <v>45765</v>
      </c>
      <c r="D97" s="38" t="s">
        <v>145</v>
      </c>
      <c r="E97" s="21"/>
      <c r="F97" s="20" t="s">
        <v>1</v>
      </c>
      <c r="G97" s="25">
        <f>-G96*0.02</f>
        <v>192.03072491598658</v>
      </c>
      <c r="H97" s="11">
        <v>20.83</v>
      </c>
      <c r="I97" s="24">
        <f>ROUND(テーブル10[[#This Row],[元金額]]*テーブル10[[#This Row],[為替レート]],0)</f>
        <v>4000</v>
      </c>
      <c r="J97" s="35"/>
      <c r="K97" s="32"/>
      <c r="L97" s="39" t="s">
        <v>591</v>
      </c>
      <c r="M97" s="20" t="s">
        <v>618</v>
      </c>
      <c r="N97" s="29" cm="1">
        <f t="array" ref="N97">-SUMPRODUCT((B$2:B$167=B97)*((C$2:C$167&lt;C97)+(C$2:C$167=C97)*(ROW(G$2:G$167)&lt;=ROW(G97)))*G$2:G$167)</f>
        <v>8356.3973676401856</v>
      </c>
      <c r="O97" s="29" cm="1">
        <f t="array" ref="O97">-SUMPRODUCT((B$2:B$167=B97)*((C$2:C$167&lt;C97)+(C$2:C$167=C97)*(ROW(I$2:I$167)&lt;=ROW(I97)))*I$2:I$167)</f>
        <v>172442</v>
      </c>
      <c r="P97" s="29">
        <f>ROUND(テーブル10[[#This Row],[為替レート]]*テーブル10[[#This Row],[元残高]],0)</f>
        <v>174064</v>
      </c>
      <c r="Q97" s="42">
        <f>テーブル10[[#This Row],[円残高]]-テーブル10[[#This Row],[円残高_時価]]</f>
        <v>-1622</v>
      </c>
    </row>
    <row r="98" spans="1:17" ht="18" customHeight="1" x14ac:dyDescent="0.25">
      <c r="A98" s="20" t="s">
        <v>107</v>
      </c>
      <c r="B98" s="20" t="s">
        <v>152</v>
      </c>
      <c r="C98" s="21">
        <v>45771</v>
      </c>
      <c r="D98" s="36" t="s">
        <v>4</v>
      </c>
      <c r="E98" s="20" t="s">
        <v>15</v>
      </c>
      <c r="F98" s="20" t="s">
        <v>1</v>
      </c>
      <c r="G98" s="25">
        <v>244</v>
      </c>
      <c r="H98" s="11">
        <v>20.83</v>
      </c>
      <c r="I98" s="24">
        <f>ROUND(テーブル10[[#This Row],[元金額]]*テーブル10[[#This Row],[為替レート]],0)</f>
        <v>5083</v>
      </c>
      <c r="J98" s="20" t="s">
        <v>498</v>
      </c>
      <c r="K98" s="32" t="s">
        <v>79</v>
      </c>
      <c r="L98" s="27" t="s">
        <v>606</v>
      </c>
      <c r="M98" s="20" t="s">
        <v>619</v>
      </c>
      <c r="N98" s="29" cm="1">
        <f t="array" ref="N98">-SUMPRODUCT((B$2:B$167=B98)*((C$2:C$167&lt;C98)+(C$2:C$167=C98)*(ROW(G$2:G$167)&lt;=ROW(G98)))*G$2:G$167)</f>
        <v>8112.3973676401856</v>
      </c>
      <c r="O98" s="29" cm="1">
        <f t="array" ref="O98">-SUMPRODUCT((B$2:B$167=B98)*((C$2:C$167&lt;C98)+(C$2:C$167=C98)*(ROW(I$2:I$167)&lt;=ROW(I98)))*I$2:I$167)</f>
        <v>167359</v>
      </c>
      <c r="P98" s="29">
        <f>ROUND(テーブル10[[#This Row],[為替レート]]*テーブル10[[#This Row],[元残高]],0)</f>
        <v>168981</v>
      </c>
      <c r="Q98" s="42">
        <f>テーブル10[[#This Row],[円残高]]-テーブル10[[#This Row],[円残高_時価]]</f>
        <v>-1622</v>
      </c>
    </row>
    <row r="99" spans="1:17" ht="18" customHeight="1" x14ac:dyDescent="0.25">
      <c r="A99" s="20" t="s">
        <v>107</v>
      </c>
      <c r="B99" s="20" t="s">
        <v>152</v>
      </c>
      <c r="C99" s="21">
        <v>45771</v>
      </c>
      <c r="D99" s="36" t="s">
        <v>4</v>
      </c>
      <c r="E99" s="20" t="s">
        <v>15</v>
      </c>
      <c r="F99" s="20" t="s">
        <v>1</v>
      </c>
      <c r="G99" s="25">
        <v>293</v>
      </c>
      <c r="H99" s="11">
        <v>20.83</v>
      </c>
      <c r="I99" s="24">
        <f>ROUND(テーブル10[[#This Row],[元金額]]*テーブル10[[#This Row],[為替レート]],0)</f>
        <v>6103</v>
      </c>
      <c r="J99" s="20" t="s">
        <v>498</v>
      </c>
      <c r="K99" s="32" t="s">
        <v>80</v>
      </c>
      <c r="L99" s="27" t="s">
        <v>607</v>
      </c>
      <c r="M99" s="20" t="s">
        <v>620</v>
      </c>
      <c r="N99" s="29" cm="1">
        <f t="array" ref="N99">-SUMPRODUCT((B$2:B$167=B99)*((C$2:C$167&lt;C99)+(C$2:C$167=C99)*(ROW(G$2:G$167)&lt;=ROW(G99)))*G$2:G$167)</f>
        <v>7819.3973676401856</v>
      </c>
      <c r="O99" s="29" cm="1">
        <f t="array" ref="O99">-SUMPRODUCT((B$2:B$167=B99)*((C$2:C$167&lt;C99)+(C$2:C$167=C99)*(ROW(I$2:I$167)&lt;=ROW(I99)))*I$2:I$167)</f>
        <v>161256</v>
      </c>
      <c r="P99" s="29">
        <f>ROUND(テーブル10[[#This Row],[為替レート]]*テーブル10[[#This Row],[元残高]],0)</f>
        <v>162878</v>
      </c>
      <c r="Q99" s="42">
        <f>テーブル10[[#This Row],[円残高]]-テーブル10[[#This Row],[円残高_時価]]</f>
        <v>-1622</v>
      </c>
    </row>
    <row r="100" spans="1:17" ht="18" customHeight="1" x14ac:dyDescent="0.25">
      <c r="A100" s="20" t="s">
        <v>107</v>
      </c>
      <c r="B100" s="20" t="s">
        <v>152</v>
      </c>
      <c r="C100" s="21">
        <v>45771</v>
      </c>
      <c r="D100" s="36" t="s">
        <v>4</v>
      </c>
      <c r="E100" s="20" t="s">
        <v>15</v>
      </c>
      <c r="F100" s="20" t="s">
        <v>1</v>
      </c>
      <c r="G100" s="25">
        <v>245</v>
      </c>
      <c r="H100" s="11">
        <v>20.83</v>
      </c>
      <c r="I100" s="24">
        <f>ROUND(テーブル10[[#This Row],[元金額]]*テーブル10[[#This Row],[為替レート]],0)</f>
        <v>5103</v>
      </c>
      <c r="J100" s="20" t="s">
        <v>498</v>
      </c>
      <c r="K100" s="32" t="s">
        <v>81</v>
      </c>
      <c r="L100" s="27" t="s">
        <v>608</v>
      </c>
      <c r="M100" s="20" t="s">
        <v>621</v>
      </c>
      <c r="N100" s="29" cm="1">
        <f t="array" ref="N100">-SUMPRODUCT((B$2:B$167=B100)*((C$2:C$167&lt;C100)+(C$2:C$167=C100)*(ROW(G$2:G$167)&lt;=ROW(G100)))*G$2:G$167)</f>
        <v>7574.3973676401856</v>
      </c>
      <c r="O100" s="29" cm="1">
        <f t="array" ref="O100">-SUMPRODUCT((B$2:B$167=B100)*((C$2:C$167&lt;C100)+(C$2:C$167=C100)*(ROW(I$2:I$167)&lt;=ROW(I100)))*I$2:I$167)</f>
        <v>156153</v>
      </c>
      <c r="P100" s="29">
        <f>ROUND(テーブル10[[#This Row],[為替レート]]*テーブル10[[#This Row],[元残高]],0)</f>
        <v>157775</v>
      </c>
      <c r="Q100" s="42">
        <f>テーブル10[[#This Row],[円残高]]-テーブル10[[#This Row],[円残高_時価]]</f>
        <v>-1622</v>
      </c>
    </row>
    <row r="101" spans="1:17" ht="18" customHeight="1" x14ac:dyDescent="0.25">
      <c r="A101" s="20" t="s">
        <v>107</v>
      </c>
      <c r="B101" s="20" t="s">
        <v>152</v>
      </c>
      <c r="C101" s="21">
        <v>45792</v>
      </c>
      <c r="D101" s="36" t="s">
        <v>4</v>
      </c>
      <c r="E101" s="20" t="s">
        <v>151</v>
      </c>
      <c r="F101" s="20" t="s">
        <v>1</v>
      </c>
      <c r="G101" s="25">
        <v>19</v>
      </c>
      <c r="H101" s="11">
        <v>20.83</v>
      </c>
      <c r="I101" s="24">
        <f>ROUND(テーブル10[[#This Row],[元金額]]*テーブル10[[#This Row],[為替レート]],0)</f>
        <v>396</v>
      </c>
      <c r="J101" s="20"/>
      <c r="K101" s="32" t="s">
        <v>78</v>
      </c>
      <c r="L101" s="18" t="s">
        <v>610</v>
      </c>
      <c r="M101" s="20" t="s">
        <v>622</v>
      </c>
      <c r="N101" s="29" cm="1">
        <f t="array" ref="N101">-SUMPRODUCT((B$2:B$167=B101)*((C$2:C$167&lt;C101)+(C$2:C$167=C101)*(ROW(G$2:G$167)&lt;=ROW(G101)))*G$2:G$167)</f>
        <v>7555.3973676401856</v>
      </c>
      <c r="O101" s="29" cm="1">
        <f t="array" ref="O101">-SUMPRODUCT((B$2:B$167=B101)*((C$2:C$167&lt;C101)+(C$2:C$167=C101)*(ROW(I$2:I$167)&lt;=ROW(I101)))*I$2:I$167)</f>
        <v>155757</v>
      </c>
      <c r="P101" s="29">
        <f>ROUND(テーブル10[[#This Row],[為替レート]]*テーブル10[[#This Row],[元残高]],0)</f>
        <v>157379</v>
      </c>
      <c r="Q101" s="42">
        <f>テーブル10[[#This Row],[円残高]]-テーブル10[[#This Row],[円残高_時価]]</f>
        <v>-1622</v>
      </c>
    </row>
    <row r="102" spans="1:17" ht="18" customHeight="1" x14ac:dyDescent="0.25">
      <c r="A102" s="20" t="s">
        <v>107</v>
      </c>
      <c r="B102" s="20" t="s">
        <v>152</v>
      </c>
      <c r="C102" s="21">
        <v>45798</v>
      </c>
      <c r="D102" s="36" t="s">
        <v>4</v>
      </c>
      <c r="E102" s="20" t="s">
        <v>527</v>
      </c>
      <c r="F102" s="20" t="s">
        <v>1</v>
      </c>
      <c r="G102" s="25">
        <v>450</v>
      </c>
      <c r="H102" s="11">
        <v>20.83</v>
      </c>
      <c r="I102" s="24">
        <f>ROUND(テーブル10[[#This Row],[元金額]]*テーブル10[[#This Row],[為替レート]],0)</f>
        <v>9374</v>
      </c>
      <c r="J102" s="20"/>
      <c r="K102" s="32" t="s">
        <v>78</v>
      </c>
      <c r="L102" s="27" t="s">
        <v>611</v>
      </c>
      <c r="M102" s="20" t="s">
        <v>623</v>
      </c>
      <c r="N102" s="29" cm="1">
        <f t="array" ref="N102">-SUMPRODUCT((B$2:B$167=B102)*((C$2:C$167&lt;C102)+(C$2:C$167=C102)*(ROW(G$2:G$167)&lt;=ROW(G102)))*G$2:G$167)</f>
        <v>7105.3973676401856</v>
      </c>
      <c r="O102" s="29" cm="1">
        <f t="array" ref="O102">-SUMPRODUCT((B$2:B$167=B102)*((C$2:C$167&lt;C102)+(C$2:C$167=C102)*(ROW(I$2:I$167)&lt;=ROW(I102)))*I$2:I$167)</f>
        <v>146383</v>
      </c>
      <c r="P102" s="29">
        <f>ROUND(テーブル10[[#This Row],[為替レート]]*テーブル10[[#This Row],[元残高]],0)</f>
        <v>148005</v>
      </c>
      <c r="Q102" s="42">
        <f>テーブル10[[#This Row],[円残高]]-テーブル10[[#This Row],[円残高_時価]]</f>
        <v>-1622</v>
      </c>
    </row>
    <row r="103" spans="1:17" ht="18" customHeight="1" x14ac:dyDescent="0.25">
      <c r="A103" s="20" t="s">
        <v>107</v>
      </c>
      <c r="B103" s="20" t="s">
        <v>152</v>
      </c>
      <c r="C103" s="21">
        <v>45799</v>
      </c>
      <c r="D103" s="36" t="s">
        <v>4</v>
      </c>
      <c r="E103" s="20" t="s">
        <v>527</v>
      </c>
      <c r="F103" s="20" t="s">
        <v>1</v>
      </c>
      <c r="G103" s="25">
        <v>325</v>
      </c>
      <c r="H103" s="11">
        <v>20.83</v>
      </c>
      <c r="I103" s="24">
        <f>ROUND(テーブル10[[#This Row],[元金額]]*テーブル10[[#This Row],[為替レート]],0)</f>
        <v>6770</v>
      </c>
      <c r="J103" s="20"/>
      <c r="K103" s="32" t="s">
        <v>78</v>
      </c>
      <c r="L103" s="27" t="s">
        <v>612</v>
      </c>
      <c r="M103" s="20" t="s">
        <v>624</v>
      </c>
      <c r="N103" s="29" cm="1">
        <f t="array" ref="N103">-SUMPRODUCT((B$2:B$167=B103)*((C$2:C$167&lt;C103)+(C$2:C$167=C103)*(ROW(G$2:G$167)&lt;=ROW(G103)))*G$2:G$167)</f>
        <v>6780.3973676401856</v>
      </c>
      <c r="O103" s="29" cm="1">
        <f t="array" ref="O103">-SUMPRODUCT((B$2:B$167=B103)*((C$2:C$167&lt;C103)+(C$2:C$167=C103)*(ROW(I$2:I$167)&lt;=ROW(I103)))*I$2:I$167)</f>
        <v>139613</v>
      </c>
      <c r="P103" s="29">
        <f>ROUND(テーブル10[[#This Row],[為替レート]]*テーブル10[[#This Row],[元残高]],0)</f>
        <v>141236</v>
      </c>
      <c r="Q103" s="42">
        <f>テーブル10[[#This Row],[円残高]]-テーブル10[[#This Row],[円残高_時価]]</f>
        <v>-1623</v>
      </c>
    </row>
    <row r="104" spans="1:17" ht="18" customHeight="1" x14ac:dyDescent="0.25">
      <c r="A104" s="20" t="s">
        <v>107</v>
      </c>
      <c r="B104" s="20" t="s">
        <v>152</v>
      </c>
      <c r="C104" s="21">
        <v>45805</v>
      </c>
      <c r="D104" s="36" t="s">
        <v>4</v>
      </c>
      <c r="E104" s="20" t="s">
        <v>50</v>
      </c>
      <c r="F104" s="20" t="s">
        <v>1</v>
      </c>
      <c r="G104" s="25">
        <v>6660</v>
      </c>
      <c r="H104" s="11">
        <v>20.83</v>
      </c>
      <c r="I104" s="24">
        <f>ROUND(テーブル10[[#This Row],[元金額]]*テーブル10[[#This Row],[為替レート]],0)</f>
        <v>138728</v>
      </c>
      <c r="J104" s="20"/>
      <c r="K104" s="32" t="s">
        <v>82</v>
      </c>
      <c r="L104" s="27" t="s">
        <v>613</v>
      </c>
      <c r="M104" s="20" t="s">
        <v>625</v>
      </c>
      <c r="N104" s="29" cm="1">
        <f t="array" ref="N104">-SUMPRODUCT((B$2:B$167=B104)*((C$2:C$167&lt;C104)+(C$2:C$167=C104)*(ROW(G$2:G$167)&lt;=ROW(G104)))*G$2:G$167)</f>
        <v>120.39736764018562</v>
      </c>
      <c r="O104" s="29" cm="1">
        <f t="array" ref="O104">-SUMPRODUCT((B$2:B$167=B104)*((C$2:C$167&lt;C104)+(C$2:C$167=C104)*(ROW(I$2:I$167)&lt;=ROW(I104)))*I$2:I$167)</f>
        <v>885</v>
      </c>
      <c r="P104" s="29">
        <f>ROUND(テーブル10[[#This Row],[為替レート]]*テーブル10[[#This Row],[元残高]],0)</f>
        <v>2508</v>
      </c>
      <c r="Q104" s="42">
        <f>テーブル10[[#This Row],[円残高]]-テーブル10[[#This Row],[円残高_時価]]</f>
        <v>-1623</v>
      </c>
    </row>
    <row r="105" spans="1:17" ht="18" customHeight="1" x14ac:dyDescent="0.25">
      <c r="A105" s="20" t="s">
        <v>107</v>
      </c>
      <c r="B105" s="20" t="s">
        <v>152</v>
      </c>
      <c r="C105" s="21">
        <v>45805</v>
      </c>
      <c r="D105" s="36" t="s">
        <v>4</v>
      </c>
      <c r="E105" s="20" t="s">
        <v>50</v>
      </c>
      <c r="F105" s="20" t="s">
        <v>1</v>
      </c>
      <c r="G105" s="25">
        <v>280</v>
      </c>
      <c r="H105" s="11">
        <v>20.83</v>
      </c>
      <c r="I105" s="24">
        <f>ROUND(テーブル10[[#This Row],[元金額]]*テーブル10[[#This Row],[為替レート]],0)</f>
        <v>5832</v>
      </c>
      <c r="J105" s="20"/>
      <c r="K105" s="32" t="s">
        <v>83</v>
      </c>
      <c r="L105" s="17" t="s">
        <v>614</v>
      </c>
      <c r="M105" s="20" t="s">
        <v>626</v>
      </c>
      <c r="N105" s="29" cm="1">
        <f t="array" ref="N105">-SUMPRODUCT((B$2:B$167=B105)*((C$2:C$167&lt;C105)+(C$2:C$167=C105)*(ROW(G$2:G$167)&lt;=ROW(G105)))*G$2:G$167)</f>
        <v>-159.60263235981438</v>
      </c>
      <c r="O105" s="29" cm="1">
        <f t="array" ref="O105">-SUMPRODUCT((B$2:B$167=B105)*((C$2:C$167&lt;C105)+(C$2:C$167=C105)*(ROW(I$2:I$167)&lt;=ROW(I105)))*I$2:I$167)</f>
        <v>-4947</v>
      </c>
      <c r="P105" s="29">
        <f>ROUND(テーブル10[[#This Row],[為替レート]]*テーブル10[[#This Row],[元残高]],0)</f>
        <v>-3325</v>
      </c>
      <c r="Q105" s="42">
        <f>テーブル10[[#This Row],[円残高]]-テーブル10[[#This Row],[円残高_時価]]</f>
        <v>-1622</v>
      </c>
    </row>
    <row r="106" spans="1:17" ht="18" customHeight="1" x14ac:dyDescent="0.25">
      <c r="A106" s="20" t="s">
        <v>107</v>
      </c>
      <c r="B106" s="20" t="s">
        <v>152</v>
      </c>
      <c r="C106" s="21">
        <v>45807</v>
      </c>
      <c r="D106" s="36" t="s">
        <v>169</v>
      </c>
      <c r="E106" s="20"/>
      <c r="F106" s="20" t="s">
        <v>1</v>
      </c>
      <c r="G106" s="25">
        <f>-200000/21.29</f>
        <v>-9394.0817285110388</v>
      </c>
      <c r="H106" s="11">
        <v>21.29</v>
      </c>
      <c r="I106" s="24">
        <f>ROUND(テーブル10[[#This Row],[元金額]]*テーブル10[[#This Row],[為替レート]],0)</f>
        <v>-200000</v>
      </c>
      <c r="J106" s="20"/>
      <c r="K106" s="32"/>
      <c r="L106" s="18" t="s">
        <v>590</v>
      </c>
      <c r="M106" s="20" t="s">
        <v>627</v>
      </c>
      <c r="N106" s="29" cm="1">
        <f t="array" ref="N106">-SUMPRODUCT((B$2:B$167=B106)*((C$2:C$167&lt;C106)+(C$2:C$167=C106)*(ROW(G$2:G$167)&lt;=ROW(G106)))*G$2:G$167)</f>
        <v>9234.4790961512244</v>
      </c>
      <c r="O106" s="29" cm="1">
        <f t="array" ref="O106">-SUMPRODUCT((B$2:B$167=B106)*((C$2:C$167&lt;C106)+(C$2:C$167=C106)*(ROW(I$2:I$167)&lt;=ROW(I106)))*I$2:I$167)</f>
        <v>195053</v>
      </c>
      <c r="P106" s="29">
        <f>ROUND(テーブル10[[#This Row],[為替レート]]*テーブル10[[#This Row],[元残高]],0)</f>
        <v>196602</v>
      </c>
      <c r="Q106" s="42">
        <f>テーブル10[[#This Row],[円残高]]-テーブル10[[#This Row],[円残高_時価]]</f>
        <v>-1549</v>
      </c>
    </row>
    <row r="107" spans="1:17" ht="18" customHeight="1" x14ac:dyDescent="0.25">
      <c r="A107" s="20" t="s">
        <v>107</v>
      </c>
      <c r="B107" s="20" t="s">
        <v>152</v>
      </c>
      <c r="C107" s="21">
        <v>45807</v>
      </c>
      <c r="D107" s="38" t="s">
        <v>145</v>
      </c>
      <c r="E107" s="20"/>
      <c r="F107" s="20" t="s">
        <v>1</v>
      </c>
      <c r="G107" s="25">
        <f>-G106*0.02</f>
        <v>187.88163457022077</v>
      </c>
      <c r="H107" s="11">
        <v>21.29</v>
      </c>
      <c r="I107" s="24">
        <f>ROUND(テーブル10[[#This Row],[元金額]]*テーブル10[[#This Row],[為替レート]],0)</f>
        <v>4000</v>
      </c>
      <c r="J107" s="20"/>
      <c r="K107" s="32"/>
      <c r="L107" s="39" t="s">
        <v>591</v>
      </c>
      <c r="M107" s="20" t="s">
        <v>628</v>
      </c>
      <c r="N107" s="29" cm="1">
        <f t="array" ref="N107">-SUMPRODUCT((B$2:B$167=B107)*((C$2:C$167&lt;C107)+(C$2:C$167=C107)*(ROW(G$2:G$167)&lt;=ROW(G107)))*G$2:G$167)</f>
        <v>9046.5974615810028</v>
      </c>
      <c r="O107" s="29" cm="1">
        <f t="array" ref="O107">-SUMPRODUCT((B$2:B$167=B107)*((C$2:C$167&lt;C107)+(C$2:C$167=C107)*(ROW(I$2:I$167)&lt;=ROW(I107)))*I$2:I$167)</f>
        <v>191053</v>
      </c>
      <c r="P107" s="29">
        <f>ROUND(テーブル10[[#This Row],[為替レート]]*テーブル10[[#This Row],[元残高]],0)</f>
        <v>192602</v>
      </c>
      <c r="Q107" s="42">
        <f>テーブル10[[#This Row],[円残高]]-テーブル10[[#This Row],[円残高_時価]]</f>
        <v>-1549</v>
      </c>
    </row>
    <row r="108" spans="1:17" ht="18" customHeight="1" x14ac:dyDescent="0.25">
      <c r="A108" s="20" t="s">
        <v>107</v>
      </c>
      <c r="B108" s="20" t="s">
        <v>152</v>
      </c>
      <c r="C108" s="21">
        <v>45827</v>
      </c>
      <c r="D108" s="36" t="s">
        <v>29</v>
      </c>
      <c r="E108" s="20"/>
      <c r="F108" s="20" t="s">
        <v>1</v>
      </c>
      <c r="G108" s="25">
        <v>82</v>
      </c>
      <c r="H108" s="11">
        <v>21.29</v>
      </c>
      <c r="I108" s="24">
        <f>ROUND(テーブル10[[#This Row],[元金額]]*テーブル10[[#This Row],[為替レート]],0)</f>
        <v>1746</v>
      </c>
      <c r="J108" s="20" t="s">
        <v>498</v>
      </c>
      <c r="K108" s="32">
        <v>26020159266</v>
      </c>
      <c r="L108" s="27" t="s">
        <v>615</v>
      </c>
      <c r="M108" s="20" t="s">
        <v>629</v>
      </c>
      <c r="N108" s="29" cm="1">
        <f t="array" ref="N108">-SUMPRODUCT((B$2:B$167=B108)*((C$2:C$167&lt;C108)+(C$2:C$167=C108)*(ROW(G$2:G$167)&lt;=ROW(G108)))*G$2:G$167)</f>
        <v>8964.5974615810028</v>
      </c>
      <c r="O108" s="29" cm="1">
        <f t="array" ref="O108">-SUMPRODUCT((B$2:B$167=B108)*((C$2:C$167&lt;C108)+(C$2:C$167=C108)*(ROW(I$2:I$167)&lt;=ROW(I108)))*I$2:I$167)</f>
        <v>189307</v>
      </c>
      <c r="P108" s="29">
        <f>ROUND(テーブル10[[#This Row],[為替レート]]*テーブル10[[#This Row],[元残高]],0)</f>
        <v>190856</v>
      </c>
      <c r="Q108" s="42">
        <f>テーブル10[[#This Row],[円残高]]-テーブル10[[#This Row],[円残高_時価]]</f>
        <v>-1549</v>
      </c>
    </row>
    <row r="109" spans="1:17" ht="18" customHeight="1" x14ac:dyDescent="0.25">
      <c r="A109" s="20" t="s">
        <v>107</v>
      </c>
      <c r="B109" s="20" t="s">
        <v>152</v>
      </c>
      <c r="C109" s="21">
        <v>45828</v>
      </c>
      <c r="D109" s="36" t="s">
        <v>4</v>
      </c>
      <c r="E109" s="20" t="s">
        <v>50</v>
      </c>
      <c r="F109" s="20" t="s">
        <v>1</v>
      </c>
      <c r="G109" s="25">
        <v>11880</v>
      </c>
      <c r="H109" s="11">
        <v>21.29</v>
      </c>
      <c r="I109" s="24">
        <f>ROUND(テーブル10[[#This Row],[元金額]]*テーブル10[[#This Row],[為替レート]],0)</f>
        <v>252925</v>
      </c>
      <c r="J109" s="20"/>
      <c r="K109" s="32" t="s">
        <v>84</v>
      </c>
      <c r="L109" s="27" t="s">
        <v>616</v>
      </c>
      <c r="M109" s="20" t="s">
        <v>630</v>
      </c>
      <c r="N109" s="29" cm="1">
        <f t="array" ref="N109">-SUMPRODUCT((B$2:B$167=B109)*((C$2:C$167&lt;C109)+(C$2:C$167=C109)*(ROW(G$2:G$167)&lt;=ROW(G109)))*G$2:G$167)</f>
        <v>-2915.4025384189972</v>
      </c>
      <c r="O109" s="29" cm="1">
        <f t="array" ref="O109">-SUMPRODUCT((B$2:B$167=B109)*((C$2:C$167&lt;C109)+(C$2:C$167=C109)*(ROW(I$2:I$167)&lt;=ROW(I109)))*I$2:I$167)</f>
        <v>-63618</v>
      </c>
      <c r="P109" s="29">
        <f>ROUND(テーブル10[[#This Row],[為替レート]]*テーブル10[[#This Row],[元残高]],0)</f>
        <v>-62069</v>
      </c>
      <c r="Q109" s="42">
        <f>テーブル10[[#This Row],[円残高]]-テーブル10[[#This Row],[円残高_時価]]</f>
        <v>-1549</v>
      </c>
    </row>
    <row r="110" spans="1:17" ht="18" customHeight="1" x14ac:dyDescent="0.25">
      <c r="A110" s="20" t="s">
        <v>107</v>
      </c>
      <c r="B110" s="20" t="s">
        <v>152</v>
      </c>
      <c r="C110" s="21">
        <v>45828</v>
      </c>
      <c r="D110" s="36" t="s">
        <v>172</v>
      </c>
      <c r="E110" s="20"/>
      <c r="F110" s="20" t="s">
        <v>1</v>
      </c>
      <c r="G110" s="25">
        <f>-200000/21.54</f>
        <v>-9285.0510677808725</v>
      </c>
      <c r="H110" s="11">
        <v>21.54</v>
      </c>
      <c r="I110" s="24">
        <f>ROUND(テーブル10[[#This Row],[元金額]]*テーブル10[[#This Row],[為替レート]],0)</f>
        <v>-200000</v>
      </c>
      <c r="J110" s="20"/>
      <c r="K110" s="32"/>
      <c r="L110" s="18" t="s">
        <v>590</v>
      </c>
      <c r="M110" s="20" t="s">
        <v>631</v>
      </c>
      <c r="N110" s="29" cm="1">
        <f t="array" ref="N110">-SUMPRODUCT((B$2:B$167=B110)*((C$2:C$167&lt;C110)+(C$2:C$167=C110)*(ROW(G$2:G$167)&lt;=ROW(G110)))*G$2:G$167)</f>
        <v>6369.6485293618753</v>
      </c>
      <c r="O110" s="29" cm="1">
        <f t="array" ref="O110">-SUMPRODUCT((B$2:B$167=B110)*((C$2:C$167&lt;C110)+(C$2:C$167=C110)*(ROW(I$2:I$167)&lt;=ROW(I110)))*I$2:I$167)</f>
        <v>136382</v>
      </c>
      <c r="P110" s="29">
        <f>ROUND(テーブル10[[#This Row],[為替レート]]*テーブル10[[#This Row],[元残高]],0)</f>
        <v>137202</v>
      </c>
      <c r="Q110" s="42">
        <f>テーブル10[[#This Row],[円残高]]-テーブル10[[#This Row],[円残高_時価]]</f>
        <v>-820</v>
      </c>
    </row>
    <row r="111" spans="1:17" ht="18" customHeight="1" x14ac:dyDescent="0.25">
      <c r="A111" s="20" t="s">
        <v>107</v>
      </c>
      <c r="B111" s="20" t="s">
        <v>152</v>
      </c>
      <c r="C111" s="21">
        <v>45828</v>
      </c>
      <c r="D111" s="38" t="s">
        <v>145</v>
      </c>
      <c r="E111" s="20"/>
      <c r="F111" s="20" t="s">
        <v>1</v>
      </c>
      <c r="G111" s="25">
        <f>-G110*0.02</f>
        <v>185.70102135561746</v>
      </c>
      <c r="H111" s="11">
        <v>21.54</v>
      </c>
      <c r="I111" s="24">
        <f>ROUND(テーブル10[[#This Row],[元金額]]*テーブル10[[#This Row],[為替レート]],0)</f>
        <v>4000</v>
      </c>
      <c r="J111" s="20"/>
      <c r="K111" s="32"/>
      <c r="L111" s="39" t="s">
        <v>591</v>
      </c>
      <c r="M111" s="20" t="s">
        <v>632</v>
      </c>
      <c r="N111" s="29" cm="1">
        <f t="array" ref="N111">-SUMPRODUCT((B$2:B$167=B111)*((C$2:C$167&lt;C111)+(C$2:C$167=C111)*(ROW(G$2:G$167)&lt;=ROW(G111)))*G$2:G$167)</f>
        <v>6183.9475080062575</v>
      </c>
      <c r="O111" s="29" cm="1">
        <f t="array" ref="O111">-SUMPRODUCT((B$2:B$167=B111)*((C$2:C$167&lt;C111)+(C$2:C$167=C111)*(ROW(I$2:I$167)&lt;=ROW(I111)))*I$2:I$167)</f>
        <v>132382</v>
      </c>
      <c r="P111" s="29">
        <f>ROUND(テーブル10[[#This Row],[為替レート]]*テーブル10[[#This Row],[元残高]],0)</f>
        <v>133202</v>
      </c>
      <c r="Q111" s="42">
        <f>テーブル10[[#This Row],[円残高]]-テーブル10[[#This Row],[円残高_時価]]</f>
        <v>-820</v>
      </c>
    </row>
    <row r="112" spans="1:17" ht="18" customHeight="1" x14ac:dyDescent="0.25">
      <c r="A112" s="20" t="s">
        <v>107</v>
      </c>
      <c r="B112" s="20" t="s">
        <v>152</v>
      </c>
      <c r="C112" s="21">
        <v>45838</v>
      </c>
      <c r="D112" s="36" t="s">
        <v>4</v>
      </c>
      <c r="E112" s="20" t="s">
        <v>527</v>
      </c>
      <c r="F112" s="20" t="s">
        <v>1</v>
      </c>
      <c r="G112" s="25">
        <v>562.5</v>
      </c>
      <c r="H112" s="11">
        <v>21.54</v>
      </c>
      <c r="I112" s="24">
        <f>ROUND(テーブル10[[#This Row],[元金額]]*テーブル10[[#This Row],[為替レート]],0)</f>
        <v>12116</v>
      </c>
      <c r="J112" s="20"/>
      <c r="K112" s="32" t="s">
        <v>82</v>
      </c>
      <c r="L112" s="27" t="s">
        <v>633</v>
      </c>
      <c r="M112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検品22.5ｈ {562.5元 * 21.54円/元, PO-0024}</v>
      </c>
      <c r="N112" s="29" cm="1">
        <f t="array" ref="N112">-SUMPRODUCT((B$2:B$167=B112)*((C$2:C$167&lt;C112)+(C$2:C$167=C112)*(ROW(G$2:G$167)&lt;=ROW(G112)))*G$2:G$167)</f>
        <v>5621.4475080062575</v>
      </c>
      <c r="O112" s="29" cm="1">
        <f t="array" ref="O112">-SUMPRODUCT((B$2:B$167=B112)*((C$2:C$167&lt;C112)+(C$2:C$167=C112)*(ROW(I$2:I$167)&lt;=ROW(I112)))*I$2:I$167)</f>
        <v>120266</v>
      </c>
      <c r="P112" s="29">
        <f>ROUND(テーブル10[[#This Row],[為替レート]]*テーブル10[[#This Row],[元残高]],0)</f>
        <v>121086</v>
      </c>
      <c r="Q112" s="42">
        <f>テーブル10[[#This Row],[円残高]]-テーブル10[[#This Row],[円残高_時価]]</f>
        <v>-820</v>
      </c>
    </row>
    <row r="113" spans="1:17" ht="18" customHeight="1" x14ac:dyDescent="0.25">
      <c r="A113" s="20" t="s">
        <v>107</v>
      </c>
      <c r="B113" s="20" t="s">
        <v>152</v>
      </c>
      <c r="C113" s="21">
        <v>45839</v>
      </c>
      <c r="D113" s="36" t="s">
        <v>4</v>
      </c>
      <c r="E113" s="20" t="s">
        <v>527</v>
      </c>
      <c r="F113" s="20" t="s">
        <v>1</v>
      </c>
      <c r="G113" s="25">
        <v>325</v>
      </c>
      <c r="H113" s="11">
        <v>21.54</v>
      </c>
      <c r="I113" s="24">
        <f>ROUND(テーブル10[[#This Row],[元金額]]*テーブル10[[#This Row],[為替レート]],0)</f>
        <v>7001</v>
      </c>
      <c r="J113" s="20"/>
      <c r="K113" s="32" t="s">
        <v>82</v>
      </c>
      <c r="L113" s="27" t="s">
        <v>634</v>
      </c>
      <c r="M113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検品13ｈ {325元 * 21.54円/元, PO-0024}</v>
      </c>
      <c r="N113" s="29" cm="1">
        <f t="array" ref="N113">-SUMPRODUCT((B$2:B$167=B113)*((C$2:C$167&lt;C113)+(C$2:C$167=C113)*(ROW(G$2:G$167)&lt;=ROW(G113)))*G$2:G$167)</f>
        <v>5296.4475080062575</v>
      </c>
      <c r="O113" s="29" cm="1">
        <f t="array" ref="O113">-SUMPRODUCT((B$2:B$167=B113)*((C$2:C$167&lt;C113)+(C$2:C$167=C113)*(ROW(I$2:I$167)&lt;=ROW(I113)))*I$2:I$167)</f>
        <v>113265</v>
      </c>
      <c r="P113" s="29">
        <f>ROUND(テーブル10[[#This Row],[為替レート]]*テーブル10[[#This Row],[元残高]],0)</f>
        <v>114085</v>
      </c>
      <c r="Q113" s="42">
        <f>テーブル10[[#This Row],[円残高]]-テーブル10[[#This Row],[円残高_時価]]</f>
        <v>-820</v>
      </c>
    </row>
    <row r="114" spans="1:17" ht="18" customHeight="1" x14ac:dyDescent="0.25">
      <c r="A114" s="20" t="s">
        <v>107</v>
      </c>
      <c r="B114" s="20" t="s">
        <v>152</v>
      </c>
      <c r="C114" s="21">
        <v>45840</v>
      </c>
      <c r="D114" s="36" t="s">
        <v>4</v>
      </c>
      <c r="E114" s="20" t="s">
        <v>527</v>
      </c>
      <c r="F114" s="20" t="s">
        <v>1</v>
      </c>
      <c r="G114" s="25">
        <v>150</v>
      </c>
      <c r="H114" s="11">
        <v>21.54</v>
      </c>
      <c r="I114" s="24">
        <f>ROUND(テーブル10[[#This Row],[元金額]]*テーブル10[[#This Row],[為替レート]],0)</f>
        <v>3231</v>
      </c>
      <c r="J114" s="20"/>
      <c r="K114" s="32" t="s">
        <v>82</v>
      </c>
      <c r="L114" s="27" t="s">
        <v>635</v>
      </c>
      <c r="M114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検品6ｈ {150元 * 21.54円/元, PO-0024}</v>
      </c>
      <c r="N114" s="29" cm="1">
        <f t="array" ref="N114">-SUMPRODUCT((B$2:B$167=B114)*((C$2:C$167&lt;C114)+(C$2:C$167=C114)*(ROW(G$2:G$167)&lt;=ROW(G114)))*G$2:G$167)</f>
        <v>5146.4475080062575</v>
      </c>
      <c r="O114" s="29" cm="1">
        <f t="array" ref="O114">-SUMPRODUCT((B$2:B$167=B114)*((C$2:C$167&lt;C114)+(C$2:C$167=C114)*(ROW(I$2:I$167)&lt;=ROW(I114)))*I$2:I$167)</f>
        <v>110034</v>
      </c>
      <c r="P114" s="29">
        <f>ROUND(テーブル10[[#This Row],[為替レート]]*テーブル10[[#This Row],[元残高]],0)</f>
        <v>110854</v>
      </c>
      <c r="Q114" s="42">
        <f>テーブル10[[#This Row],[円残高]]-テーブル10[[#This Row],[円残高_時価]]</f>
        <v>-820</v>
      </c>
    </row>
    <row r="115" spans="1:17" ht="18" customHeight="1" x14ac:dyDescent="0.25">
      <c r="A115" s="20" t="s">
        <v>107</v>
      </c>
      <c r="B115" s="20" t="s">
        <v>152</v>
      </c>
      <c r="C115" s="21">
        <v>45841</v>
      </c>
      <c r="D115" s="36" t="s">
        <v>4</v>
      </c>
      <c r="E115" s="20" t="s">
        <v>527</v>
      </c>
      <c r="F115" s="20" t="s">
        <v>1</v>
      </c>
      <c r="G115" s="25">
        <v>37.5</v>
      </c>
      <c r="H115" s="11">
        <v>21.54</v>
      </c>
      <c r="I115" s="24">
        <f>ROUND(テーブル10[[#This Row],[元金額]]*テーブル10[[#This Row],[為替レート]],0)</f>
        <v>808</v>
      </c>
      <c r="J115" s="20"/>
      <c r="K115" s="32" t="s">
        <v>82</v>
      </c>
      <c r="L115" s="27" t="s">
        <v>636</v>
      </c>
      <c r="M115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検品1.5ｈ {37.5元 * 21.54円/元, PO-0024}</v>
      </c>
      <c r="N115" s="29" cm="1">
        <f t="array" ref="N115">-SUMPRODUCT((B$2:B$167=B115)*((C$2:C$167&lt;C115)+(C$2:C$167=C115)*(ROW(G$2:G$167)&lt;=ROW(G115)))*G$2:G$167)</f>
        <v>5108.9475080062575</v>
      </c>
      <c r="O115" s="29" cm="1">
        <f t="array" ref="O115">-SUMPRODUCT((B$2:B$167=B115)*((C$2:C$167&lt;C115)+(C$2:C$167=C115)*(ROW(I$2:I$167)&lt;=ROW(I115)))*I$2:I$167)</f>
        <v>109226</v>
      </c>
      <c r="P115" s="29">
        <f>ROUND(テーブル10[[#This Row],[為替レート]]*テーブル10[[#This Row],[元残高]],0)</f>
        <v>110047</v>
      </c>
      <c r="Q115" s="42">
        <f>テーブル10[[#This Row],[円残高]]-テーブル10[[#This Row],[円残高_時価]]</f>
        <v>-821</v>
      </c>
    </row>
    <row r="116" spans="1:17" ht="18" customHeight="1" x14ac:dyDescent="0.25">
      <c r="A116" s="20" t="s">
        <v>107</v>
      </c>
      <c r="B116" s="20" t="s">
        <v>152</v>
      </c>
      <c r="C116" s="21">
        <v>45853</v>
      </c>
      <c r="D116" s="36" t="s">
        <v>4</v>
      </c>
      <c r="E116" s="20" t="s">
        <v>15</v>
      </c>
      <c r="F116" s="20" t="s">
        <v>1</v>
      </c>
      <c r="G116" s="25">
        <v>340.5</v>
      </c>
      <c r="H116" s="11">
        <v>21.54</v>
      </c>
      <c r="I116" s="24">
        <f>ROUND(テーブル10[[#This Row],[元金額]]*テーブル10[[#This Row],[為替レート]],0)</f>
        <v>7334</v>
      </c>
      <c r="J116" s="20" t="s">
        <v>498</v>
      </c>
      <c r="K116" s="32" t="s">
        <v>85</v>
      </c>
      <c r="L116" s="27" t="s">
        <v>637</v>
      </c>
      <c r="M116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今回発注+返品分 合計2箱 2025.5.26. {340.5元 * 21.54円/元, DQS2958567EQ}</v>
      </c>
      <c r="N116" s="29" cm="1">
        <f t="array" ref="N116">-SUMPRODUCT((B$2:B$167=B116)*((C$2:C$167&lt;C116)+(C$2:C$167=C116)*(ROW(G$2:G$167)&lt;=ROW(G116)))*G$2:G$167)</f>
        <v>4768.4475080062575</v>
      </c>
      <c r="O116" s="29" cm="1">
        <f t="array" ref="O116">-SUMPRODUCT((B$2:B$167=B116)*((C$2:C$167&lt;C116)+(C$2:C$167=C116)*(ROW(I$2:I$167)&lt;=ROW(I116)))*I$2:I$167)</f>
        <v>101892</v>
      </c>
      <c r="P116" s="29">
        <f>ROUND(テーブル10[[#This Row],[為替レート]]*テーブル10[[#This Row],[元残高]],0)</f>
        <v>102712</v>
      </c>
      <c r="Q116" s="42">
        <f>テーブル10[[#This Row],[円残高]]-テーブル10[[#This Row],[円残高_時価]]</f>
        <v>-820</v>
      </c>
    </row>
    <row r="117" spans="1:17" ht="18" customHeight="1" x14ac:dyDescent="0.25">
      <c r="A117" s="20" t="s">
        <v>107</v>
      </c>
      <c r="B117" s="20" t="s">
        <v>152</v>
      </c>
      <c r="C117" s="21">
        <v>45854</v>
      </c>
      <c r="D117" s="36" t="s">
        <v>4</v>
      </c>
      <c r="E117" s="20" t="s">
        <v>151</v>
      </c>
      <c r="F117" s="20" t="s">
        <v>1</v>
      </c>
      <c r="G117" s="25">
        <v>22</v>
      </c>
      <c r="H117" s="11">
        <v>21.54</v>
      </c>
      <c r="I117" s="24">
        <f>ROUND(テーブル10[[#This Row],[元金額]]*テーブル10[[#This Row],[為替レート]],0)</f>
        <v>474</v>
      </c>
      <c r="J117" s="20"/>
      <c r="K117" s="32" t="s">
        <v>82</v>
      </c>
      <c r="L117" s="18" t="s">
        <v>610</v>
      </c>
      <c r="M117" s="20" t="str">
        <f>テーブル10[[#This Row],[メモ]]&amp;" {"&amp;テーブル10[[#This Row],[元金額]]&amp;"元 * "&amp;テーブル10[[#This Row],[為替レート]]&amp;"円/元, "&amp;テーブル10[[#This Row],[配賦ID]]&amp;"}"</f>
        <v>洗濯タグと前回不良品を工場に発送する国内送料 {22元 * 21.54円/元, PO-0024}</v>
      </c>
      <c r="N117" s="29" cm="1">
        <f t="array" ref="N117">-SUMPRODUCT((B$2:B$167=B117)*((C$2:C$167&lt;C117)+(C$2:C$167=C117)*(ROW(G$2:G$167)&lt;=ROW(G117)))*G$2:G$167)</f>
        <v>4746.4475080062575</v>
      </c>
      <c r="O117" s="29" cm="1">
        <f t="array" ref="O117">-SUMPRODUCT((B$2:B$167=B117)*((C$2:C$167&lt;C117)+(C$2:C$167=C117)*(ROW(I$2:I$167)&lt;=ROW(I117)))*I$2:I$167)</f>
        <v>101418</v>
      </c>
      <c r="P117" s="29">
        <f>ROUND(テーブル10[[#This Row],[為替レート]]*テーブル10[[#This Row],[元残高]],0)</f>
        <v>102238</v>
      </c>
      <c r="Q117" s="42">
        <f>テーブル10[[#This Row],[円残高]]-テーブル10[[#This Row],[円残高_時価]]</f>
        <v>-820</v>
      </c>
    </row>
    <row r="118" spans="1:17" ht="18" customHeight="1" x14ac:dyDescent="0.25">
      <c r="A118" s="20" t="s">
        <v>107</v>
      </c>
      <c r="B118" s="20" t="s">
        <v>152</v>
      </c>
      <c r="C118" s="21">
        <v>45854</v>
      </c>
      <c r="D118" s="36" t="s">
        <v>4</v>
      </c>
      <c r="E118" s="20" t="s">
        <v>151</v>
      </c>
      <c r="F118" s="20" t="s">
        <v>1</v>
      </c>
      <c r="G118" s="25">
        <v>18</v>
      </c>
      <c r="H118" s="11">
        <v>21.54</v>
      </c>
      <c r="I118" s="24">
        <f>ROUND(テーブル10[[#This Row],[元金額]]*テーブル10[[#This Row],[為替レート]],0)</f>
        <v>388</v>
      </c>
      <c r="J118" s="20"/>
      <c r="K118" s="32" t="s">
        <v>84</v>
      </c>
      <c r="L118" s="18" t="s">
        <v>610</v>
      </c>
      <c r="M118" s="20" t="str">
        <f>テーブル10[[#This Row],[メモ]]&amp;" {"&amp;テーブル10[[#This Row],[元金額]]&amp;"元 * "&amp;テーブル10[[#This Row],[為替レート]]&amp;"円/元, "&amp;テーブル10[[#This Row],[配賦ID]]&amp;"}"</f>
        <v>洗濯タグと前回不良品を工場に発送する国内送料 {18元 * 21.54円/元, PO-0026}</v>
      </c>
      <c r="N118" s="29" cm="1">
        <f t="array" ref="N118">-SUMPRODUCT((B$2:B$167=B118)*((C$2:C$167&lt;C118)+(C$2:C$167=C118)*(ROW(G$2:G$167)&lt;=ROW(G118)))*G$2:G$167)</f>
        <v>4728.4475080062575</v>
      </c>
      <c r="O118" s="29" cm="1">
        <f t="array" ref="O118">-SUMPRODUCT((B$2:B$167=B118)*((C$2:C$167&lt;C118)+(C$2:C$167=C118)*(ROW(I$2:I$167)&lt;=ROW(I118)))*I$2:I$167)</f>
        <v>101030</v>
      </c>
      <c r="P118" s="29">
        <f>ROUND(テーブル10[[#This Row],[為替レート]]*テーブル10[[#This Row],[元残高]],0)</f>
        <v>101851</v>
      </c>
      <c r="Q118" s="42">
        <f>テーブル10[[#This Row],[円残高]]-テーブル10[[#This Row],[円残高_時価]]</f>
        <v>-821</v>
      </c>
    </row>
    <row r="119" spans="1:17" ht="18" customHeight="1" x14ac:dyDescent="0.25">
      <c r="A119" s="20" t="s">
        <v>107</v>
      </c>
      <c r="B119" s="20" t="s">
        <v>152</v>
      </c>
      <c r="C119" s="21">
        <v>45873</v>
      </c>
      <c r="D119" s="36" t="s">
        <v>4</v>
      </c>
      <c r="E119" s="20" t="s">
        <v>527</v>
      </c>
      <c r="F119" s="20" t="s">
        <v>1</v>
      </c>
      <c r="G119" s="25">
        <v>500</v>
      </c>
      <c r="H119" s="11">
        <v>21.54</v>
      </c>
      <c r="I119" s="24">
        <f>ROUND(テーブル10[[#This Row],[元金額]]*テーブル10[[#This Row],[為替レート]],0)</f>
        <v>10770</v>
      </c>
      <c r="J119" s="20"/>
      <c r="K119" s="32" t="s">
        <v>84</v>
      </c>
      <c r="L119" s="28" t="s">
        <v>638</v>
      </c>
      <c r="M119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 20ｈ {500元 * 21.54円/元, PO-0026}</v>
      </c>
      <c r="N119" s="29" cm="1">
        <f t="array" ref="N119">-SUMPRODUCT((B$2:B$167=B119)*((C$2:C$167&lt;C119)+(C$2:C$167=C119)*(ROW(G$2:G$167)&lt;=ROW(G119)))*G$2:G$167)</f>
        <v>4228.4475080062575</v>
      </c>
      <c r="O119" s="29" cm="1">
        <f t="array" ref="O119">-SUMPRODUCT((B$2:B$167=B119)*((C$2:C$167&lt;C119)+(C$2:C$167=C119)*(ROW(I$2:I$167)&lt;=ROW(I119)))*I$2:I$167)</f>
        <v>90260</v>
      </c>
      <c r="P119" s="29">
        <f>ROUND(テーブル10[[#This Row],[為替レート]]*テーブル10[[#This Row],[元残高]],0)</f>
        <v>91081</v>
      </c>
      <c r="Q119" s="42">
        <f>テーブル10[[#This Row],[円残高]]-テーブル10[[#This Row],[円残高_時価]]</f>
        <v>-821</v>
      </c>
    </row>
    <row r="120" spans="1:17" ht="18" customHeight="1" x14ac:dyDescent="0.25">
      <c r="A120" s="20" t="s">
        <v>107</v>
      </c>
      <c r="B120" s="20" t="s">
        <v>152</v>
      </c>
      <c r="C120" s="21">
        <v>45874</v>
      </c>
      <c r="D120" s="36" t="s">
        <v>4</v>
      </c>
      <c r="E120" s="20" t="s">
        <v>527</v>
      </c>
      <c r="F120" s="20" t="s">
        <v>1</v>
      </c>
      <c r="G120" s="25">
        <v>962.5</v>
      </c>
      <c r="H120" s="11">
        <v>21.54</v>
      </c>
      <c r="I120" s="24">
        <f>ROUND(テーブル10[[#This Row],[元金額]]*テーブル10[[#This Row],[為替レート]],0)</f>
        <v>20732</v>
      </c>
      <c r="J120" s="20"/>
      <c r="K120" s="32" t="s">
        <v>84</v>
      </c>
      <c r="L120" s="27" t="s">
        <v>639</v>
      </c>
      <c r="M120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 38.5ｈ {962.5元 * 21.54円/元, PO-0026}</v>
      </c>
      <c r="N120" s="29" cm="1">
        <f t="array" ref="N120">-SUMPRODUCT((B$2:B$167=B120)*((C$2:C$167&lt;C120)+(C$2:C$167=C120)*(ROW(G$2:G$167)&lt;=ROW(G120)))*G$2:G$167)</f>
        <v>3265.9475080062575</v>
      </c>
      <c r="O120" s="29" cm="1">
        <f t="array" ref="O120">-SUMPRODUCT((B$2:B$167=B120)*((C$2:C$167&lt;C120)+(C$2:C$167=C120)*(ROW(I$2:I$167)&lt;=ROW(I120)))*I$2:I$167)</f>
        <v>69528</v>
      </c>
      <c r="P120" s="29">
        <f>ROUND(テーブル10[[#This Row],[為替レート]]*テーブル10[[#This Row],[元残高]],0)</f>
        <v>70349</v>
      </c>
      <c r="Q120" s="42">
        <f>テーブル10[[#This Row],[円残高]]-テーブル10[[#This Row],[円残高_時価]]</f>
        <v>-821</v>
      </c>
    </row>
    <row r="121" spans="1:17" ht="18" customHeight="1" x14ac:dyDescent="0.25">
      <c r="A121" s="20" t="s">
        <v>107</v>
      </c>
      <c r="B121" s="20" t="s">
        <v>152</v>
      </c>
      <c r="C121" s="21">
        <v>45875</v>
      </c>
      <c r="D121" s="36" t="s">
        <v>4</v>
      </c>
      <c r="E121" s="20" t="s">
        <v>527</v>
      </c>
      <c r="F121" s="20" t="s">
        <v>1</v>
      </c>
      <c r="G121" s="25">
        <v>125</v>
      </c>
      <c r="H121" s="11">
        <v>21.54</v>
      </c>
      <c r="I121" s="24">
        <f>ROUND(テーブル10[[#This Row],[元金額]]*テーブル10[[#This Row],[為替レート]],0)</f>
        <v>2693</v>
      </c>
      <c r="J121" s="20"/>
      <c r="K121" s="32" t="s">
        <v>84</v>
      </c>
      <c r="L121" s="27" t="s">
        <v>640</v>
      </c>
      <c r="M121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検品 5ｈ {125元 * 21.54円/元, PO-0026}</v>
      </c>
      <c r="N121" s="29" cm="1">
        <f t="array" ref="N121">-SUMPRODUCT((B$2:B$167=B121)*((C$2:C$167&lt;C121)+(C$2:C$167=C121)*(ROW(G$2:G$167)&lt;=ROW(G121)))*G$2:G$167)</f>
        <v>3140.9475080062575</v>
      </c>
      <c r="O121" s="29" cm="1">
        <f t="array" ref="O121">-SUMPRODUCT((B$2:B$167=B121)*((C$2:C$167&lt;C121)+(C$2:C$167=C121)*(ROW(I$2:I$167)&lt;=ROW(I121)))*I$2:I$167)</f>
        <v>66835</v>
      </c>
      <c r="P121" s="29">
        <f>ROUND(テーブル10[[#This Row],[為替レート]]*テーブル10[[#This Row],[元残高]],0)</f>
        <v>67656</v>
      </c>
      <c r="Q121" s="42">
        <f>テーブル10[[#This Row],[円残高]]-テーブル10[[#This Row],[円残高_時価]]</f>
        <v>-821</v>
      </c>
    </row>
    <row r="122" spans="1:17" ht="18" customHeight="1" x14ac:dyDescent="0.25">
      <c r="A122" s="20" t="s">
        <v>107</v>
      </c>
      <c r="B122" s="20" t="s">
        <v>152</v>
      </c>
      <c r="C122" s="21">
        <v>45884</v>
      </c>
      <c r="D122" s="36" t="s">
        <v>4</v>
      </c>
      <c r="E122" s="20" t="s">
        <v>15</v>
      </c>
      <c r="F122" s="20" t="s">
        <v>1</v>
      </c>
      <c r="G122" s="25">
        <v>351</v>
      </c>
      <c r="H122" s="11">
        <v>21.54</v>
      </c>
      <c r="I122" s="24">
        <f>ROUND(テーブル10[[#This Row],[元金額]]*テーブル10[[#This Row],[為替レート]],0)</f>
        <v>7561</v>
      </c>
      <c r="J122" s="20" t="s">
        <v>498</v>
      </c>
      <c r="K122" s="32" t="s">
        <v>86</v>
      </c>
      <c r="L122" s="27" t="s">
        <v>641</v>
      </c>
      <c r="M122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今回発注+返品分 合計2箱　2025.7.7 {351元 * 21.54円/元, DQS2960266EQ}</v>
      </c>
      <c r="N122" s="29" cm="1">
        <f t="array" ref="N122">-SUMPRODUCT((B$2:B$167=B122)*((C$2:C$167&lt;C122)+(C$2:C$167=C122)*(ROW(G$2:G$167)&lt;=ROW(G122)))*G$2:G$167)</f>
        <v>2789.9475080062575</v>
      </c>
      <c r="O122" s="29" cm="1">
        <f t="array" ref="O122">-SUMPRODUCT((B$2:B$167=B122)*((C$2:C$167&lt;C122)+(C$2:C$167=C122)*(ROW(I$2:I$167)&lt;=ROW(I122)))*I$2:I$167)</f>
        <v>59274</v>
      </c>
      <c r="P122" s="29">
        <f>ROUND(テーブル10[[#This Row],[為替レート]]*テーブル10[[#This Row],[元残高]],0)</f>
        <v>60095</v>
      </c>
      <c r="Q122" s="42">
        <f>テーブル10[[#This Row],[円残高]]-テーブル10[[#This Row],[円残高_時価]]</f>
        <v>-821</v>
      </c>
    </row>
    <row r="123" spans="1:17" ht="18" customHeight="1" x14ac:dyDescent="0.25">
      <c r="A123" s="20" t="s">
        <v>107</v>
      </c>
      <c r="B123" s="20" t="s">
        <v>152</v>
      </c>
      <c r="C123" s="21">
        <v>45888</v>
      </c>
      <c r="D123" s="36" t="s">
        <v>29</v>
      </c>
      <c r="E123" s="20"/>
      <c r="F123" s="20" t="s">
        <v>1</v>
      </c>
      <c r="G123" s="25">
        <v>6.1</v>
      </c>
      <c r="H123" s="11">
        <v>21.54</v>
      </c>
      <c r="I123" s="24">
        <f>ROUND(テーブル10[[#This Row],[元金額]]*テーブル10[[#This Row],[為替レート]],0)</f>
        <v>131</v>
      </c>
      <c r="J123" s="20"/>
      <c r="K123" s="32" t="s">
        <v>602</v>
      </c>
      <c r="L123" s="28" t="s">
        <v>642</v>
      </c>
      <c r="M123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お食事エプロンパッケージ袋 サンプル {6.1元 * 21.54円/元, PO-0027}</v>
      </c>
      <c r="N123" s="29" cm="1">
        <f t="array" ref="N123">-SUMPRODUCT((B$2:B$167=B123)*((C$2:C$167&lt;C123)+(C$2:C$167=C123)*(ROW(G$2:G$167)&lt;=ROW(G123)))*G$2:G$167)</f>
        <v>2783.8475080062576</v>
      </c>
      <c r="O123" s="29" cm="1">
        <f t="array" ref="O123">-SUMPRODUCT((B$2:B$167=B123)*((C$2:C$167&lt;C123)+(C$2:C$167=C123)*(ROW(I$2:I$167)&lt;=ROW(I123)))*I$2:I$167)</f>
        <v>59143</v>
      </c>
      <c r="P123" s="29">
        <f>ROUND(テーブル10[[#This Row],[為替レート]]*テーブル10[[#This Row],[元残高]],0)</f>
        <v>59964</v>
      </c>
      <c r="Q123" s="42">
        <f>テーブル10[[#This Row],[円残高]]-テーブル10[[#This Row],[円残高_時価]]</f>
        <v>-821</v>
      </c>
    </row>
    <row r="124" spans="1:17" ht="18" customHeight="1" x14ac:dyDescent="0.25">
      <c r="A124" s="20" t="s">
        <v>107</v>
      </c>
      <c r="B124" s="20" t="s">
        <v>152</v>
      </c>
      <c r="C124" s="21">
        <v>45897</v>
      </c>
      <c r="D124" s="36" t="s">
        <v>29</v>
      </c>
      <c r="E124" s="20"/>
      <c r="F124" s="20" t="s">
        <v>1</v>
      </c>
      <c r="G124" s="25">
        <v>88.5</v>
      </c>
      <c r="H124" s="11">
        <v>21.54</v>
      </c>
      <c r="I124" s="24">
        <f>ROUND(テーブル10[[#This Row],[元金額]]*テーブル10[[#This Row],[為替レート]],0)</f>
        <v>1906</v>
      </c>
      <c r="J124" s="20"/>
      <c r="K124" s="32" t="s">
        <v>603</v>
      </c>
      <c r="L124" s="28" t="s">
        <v>643</v>
      </c>
      <c r="M124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マザーズリュックサンプル２回目 工場1 {88.5元 * 21.54円/元, PO-0028}</v>
      </c>
      <c r="N124" s="29" cm="1">
        <f t="array" ref="N124">-SUMPRODUCT((B$2:B$167=B124)*((C$2:C$167&lt;C124)+(C$2:C$167=C124)*(ROW(G$2:G$167)&lt;=ROW(G124)))*G$2:G$167)</f>
        <v>2695.3475080062576</v>
      </c>
      <c r="O124" s="29" cm="1">
        <f t="array" ref="O124">-SUMPRODUCT((B$2:B$167=B124)*((C$2:C$167&lt;C124)+(C$2:C$167=C124)*(ROW(I$2:I$167)&lt;=ROW(I124)))*I$2:I$167)</f>
        <v>57237</v>
      </c>
      <c r="P124" s="29">
        <f>ROUND(テーブル10[[#This Row],[為替レート]]*テーブル10[[#This Row],[元残高]],0)</f>
        <v>58058</v>
      </c>
      <c r="Q124" s="42">
        <f>テーブル10[[#This Row],[円残高]]-テーブル10[[#This Row],[円残高_時価]]</f>
        <v>-821</v>
      </c>
    </row>
    <row r="125" spans="1:17" ht="18" customHeight="1" x14ac:dyDescent="0.55000000000000004">
      <c r="A125" s="20" t="s">
        <v>107</v>
      </c>
      <c r="B125" s="20" t="s">
        <v>152</v>
      </c>
      <c r="C125" s="21">
        <v>45897</v>
      </c>
      <c r="D125" s="36" t="s">
        <v>29</v>
      </c>
      <c r="E125" s="20"/>
      <c r="F125" s="20" t="s">
        <v>1</v>
      </c>
      <c r="G125" s="25">
        <v>46</v>
      </c>
      <c r="H125" s="11">
        <v>21.54</v>
      </c>
      <c r="I125" s="24">
        <f>ROUND(テーブル10[[#This Row],[元金額]]*テーブル10[[#This Row],[為替レート]],0)</f>
        <v>991</v>
      </c>
      <c r="J125" s="20"/>
      <c r="K125" s="32" t="s">
        <v>603</v>
      </c>
      <c r="L125" s="28" t="s">
        <v>644</v>
      </c>
      <c r="M125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マザーズリュックサンプル２回目 工場2 {46元 * 21.54円/元, PO-0028}</v>
      </c>
      <c r="N125" s="29" cm="1">
        <f t="array" ref="N125">-SUMPRODUCT((B$2:B$167=B125)*((C$2:C$167&lt;C125)+(C$2:C$167=C125)*(ROW(G$2:G$167)&lt;=ROW(G125)))*G$2:G$167)</f>
        <v>2649.3475080062576</v>
      </c>
      <c r="O125" s="29" cm="1">
        <f t="array" ref="O125">-SUMPRODUCT((B$2:B$167=B125)*((C$2:C$167&lt;C125)+(C$2:C$167=C125)*(ROW(I$2:I$167)&lt;=ROW(I125)))*I$2:I$167)</f>
        <v>56246</v>
      </c>
      <c r="P125" s="29">
        <f>ROUND(テーブル10[[#This Row],[為替レート]]*テーブル10[[#This Row],[元残高]],0)</f>
        <v>57067</v>
      </c>
      <c r="Q125" s="42">
        <f>テーブル10[[#This Row],[円残高]]-テーブル10[[#This Row],[円残高_時価]]</f>
        <v>-821</v>
      </c>
    </row>
    <row r="126" spans="1:17" ht="18" customHeight="1" x14ac:dyDescent="0.55000000000000004">
      <c r="A126" s="20" t="s">
        <v>107</v>
      </c>
      <c r="B126" s="20" t="s">
        <v>152</v>
      </c>
      <c r="C126" s="21">
        <v>45897</v>
      </c>
      <c r="D126" s="36" t="s">
        <v>29</v>
      </c>
      <c r="E126" s="20"/>
      <c r="F126" s="20" t="s">
        <v>1</v>
      </c>
      <c r="G126" s="25">
        <v>47</v>
      </c>
      <c r="H126" s="11">
        <v>21.54</v>
      </c>
      <c r="I126" s="24">
        <f>ROUND(テーブル10[[#This Row],[元金額]]*テーブル10[[#This Row],[為替レート]],0)</f>
        <v>1012</v>
      </c>
      <c r="J126" s="20"/>
      <c r="K126" s="32" t="s">
        <v>603</v>
      </c>
      <c r="L126" s="28" t="s">
        <v>645</v>
      </c>
      <c r="M126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マザーズリュックサンプル２回目 工場3 {47元 * 21.54円/元, PO-0028}</v>
      </c>
      <c r="N126" s="29" cm="1">
        <f t="array" ref="N126">-SUMPRODUCT((B$2:B$167=B126)*((C$2:C$167&lt;C126)+(C$2:C$167=C126)*(ROW(G$2:G$167)&lt;=ROW(G126)))*G$2:G$167)</f>
        <v>2602.3475080062576</v>
      </c>
      <c r="O126" s="29" cm="1">
        <f t="array" ref="O126">-SUMPRODUCT((B$2:B$167=B126)*((C$2:C$167&lt;C126)+(C$2:C$167=C126)*(ROW(I$2:I$167)&lt;=ROW(I126)))*I$2:I$167)</f>
        <v>55234</v>
      </c>
      <c r="P126" s="29">
        <f>ROUND(テーブル10[[#This Row],[為替レート]]*テーブル10[[#This Row],[元残高]],0)</f>
        <v>56055</v>
      </c>
      <c r="Q126" s="42">
        <f>テーブル10[[#This Row],[円残高]]-テーブル10[[#This Row],[円残高_時価]]</f>
        <v>-821</v>
      </c>
    </row>
    <row r="127" spans="1:17" ht="18" customHeight="1" x14ac:dyDescent="0.25">
      <c r="A127" s="20" t="s">
        <v>107</v>
      </c>
      <c r="B127" s="20" t="s">
        <v>152</v>
      </c>
      <c r="C127" s="21">
        <v>45897</v>
      </c>
      <c r="D127" s="36" t="s">
        <v>29</v>
      </c>
      <c r="E127" s="20"/>
      <c r="F127" s="20" t="s">
        <v>1</v>
      </c>
      <c r="G127" s="25">
        <v>182</v>
      </c>
      <c r="H127" s="11">
        <v>21.54</v>
      </c>
      <c r="I127" s="24">
        <f>ROUND(テーブル10[[#This Row],[元金額]]*テーブル10[[#This Row],[為替レート]],0)</f>
        <v>3920</v>
      </c>
      <c r="J127" s="20"/>
      <c r="K127" s="32" t="s">
        <v>603</v>
      </c>
      <c r="L127" s="28" t="s">
        <v>646</v>
      </c>
      <c r="M127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マザーズリュックサンプル２回目 工場6 {182元 * 21.54円/元, PO-0028}</v>
      </c>
      <c r="N127" s="29" cm="1">
        <f t="array" ref="N127">-SUMPRODUCT((B$2:B$167=B127)*((C$2:C$167&lt;C127)+(C$2:C$167=C127)*(ROW(G$2:G$167)&lt;=ROW(G127)))*G$2:G$167)</f>
        <v>2420.3475080062576</v>
      </c>
      <c r="O127" s="29" cm="1">
        <f t="array" ref="O127">-SUMPRODUCT((B$2:B$167=B127)*((C$2:C$167&lt;C127)+(C$2:C$167=C127)*(ROW(I$2:I$167)&lt;=ROW(I127)))*I$2:I$167)</f>
        <v>51314</v>
      </c>
      <c r="P127" s="29">
        <f>ROUND(テーブル10[[#This Row],[為替レート]]*テーブル10[[#This Row],[元残高]],0)</f>
        <v>52134</v>
      </c>
      <c r="Q127" s="42">
        <f>テーブル10[[#This Row],[円残高]]-テーブル10[[#This Row],[円残高_時価]]</f>
        <v>-820</v>
      </c>
    </row>
    <row r="128" spans="1:17" ht="18" customHeight="1" x14ac:dyDescent="0.25">
      <c r="A128" s="20" t="s">
        <v>107</v>
      </c>
      <c r="B128" s="20" t="s">
        <v>152</v>
      </c>
      <c r="C128" s="21">
        <v>45897</v>
      </c>
      <c r="D128" s="36" t="s">
        <v>29</v>
      </c>
      <c r="E128" s="20"/>
      <c r="F128" s="20" t="s">
        <v>1</v>
      </c>
      <c r="G128" s="25">
        <v>79</v>
      </c>
      <c r="H128" s="11">
        <v>21.54</v>
      </c>
      <c r="I128" s="24">
        <f>ROUND(テーブル10[[#This Row],[元金額]]*テーブル10[[#This Row],[為替レート]],0)</f>
        <v>1702</v>
      </c>
      <c r="J128" s="20"/>
      <c r="K128" s="32" t="s">
        <v>603</v>
      </c>
      <c r="L128" s="28" t="s">
        <v>647</v>
      </c>
      <c r="M128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マザーズリュックサンプル２回目 工場8 {79元 * 21.54円/元, PO-0028}</v>
      </c>
      <c r="N128" s="29" cm="1">
        <f t="array" ref="N128">-SUMPRODUCT((B$2:B$167=B128)*((C$2:C$167&lt;C128)+(C$2:C$167=C128)*(ROW(G$2:G$167)&lt;=ROW(G128)))*G$2:G$167)</f>
        <v>2341.3475080062576</v>
      </c>
      <c r="O128" s="29" cm="1">
        <f t="array" ref="O128">-SUMPRODUCT((B$2:B$167=B128)*((C$2:C$167&lt;C128)+(C$2:C$167=C128)*(ROW(I$2:I$167)&lt;=ROW(I128)))*I$2:I$167)</f>
        <v>49612</v>
      </c>
      <c r="P128" s="29">
        <f>ROUND(テーブル10[[#This Row],[為替レート]]*テーブル10[[#This Row],[元残高]],0)</f>
        <v>50433</v>
      </c>
      <c r="Q128" s="42">
        <f>テーブル10[[#This Row],[円残高]]-テーブル10[[#This Row],[円残高_時価]]</f>
        <v>-821</v>
      </c>
    </row>
    <row r="129" spans="1:17" ht="18" customHeight="1" x14ac:dyDescent="0.25">
      <c r="A129" s="20" t="s">
        <v>107</v>
      </c>
      <c r="B129" s="20" t="s">
        <v>152</v>
      </c>
      <c r="C129" s="21">
        <v>45901</v>
      </c>
      <c r="D129" s="36" t="s">
        <v>29</v>
      </c>
      <c r="E129" s="20"/>
      <c r="F129" s="20" t="s">
        <v>1</v>
      </c>
      <c r="G129" s="25">
        <v>5.4</v>
      </c>
      <c r="H129" s="11">
        <v>21.54</v>
      </c>
      <c r="I129" s="24">
        <f>ROUND(テーブル10[[#This Row],[元金額]]*テーブル10[[#This Row],[為替レート]],0)</f>
        <v>116</v>
      </c>
      <c r="J129" s="20"/>
      <c r="K129" s="32" t="s">
        <v>602</v>
      </c>
      <c r="L129" s="28" t="s">
        <v>642</v>
      </c>
      <c r="M129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お食事エプロンパッケージ袋 サンプル {5.4元 * 21.54円/元, PO-0027}</v>
      </c>
      <c r="N129" s="29" cm="1">
        <f t="array" ref="N129">-SUMPRODUCT((B$2:B$167=B129)*((C$2:C$167&lt;C129)+(C$2:C$167=C129)*(ROW(G$2:G$167)&lt;=ROW(G129)))*G$2:G$167)</f>
        <v>2335.9475080062575</v>
      </c>
      <c r="O129" s="29" cm="1">
        <f t="array" ref="O129">-SUMPRODUCT((B$2:B$167=B129)*((C$2:C$167&lt;C129)+(C$2:C$167=C129)*(ROW(I$2:I$167)&lt;=ROW(I129)))*I$2:I$167)</f>
        <v>49496</v>
      </c>
      <c r="P129" s="29">
        <f>ROUND(テーブル10[[#This Row],[為替レート]]*テーブル10[[#This Row],[元残高]],0)</f>
        <v>50316</v>
      </c>
      <c r="Q129" s="42">
        <f>テーブル10[[#This Row],[円残高]]-テーブル10[[#This Row],[円残高_時価]]</f>
        <v>-820</v>
      </c>
    </row>
    <row r="130" spans="1:17" ht="18" customHeight="1" x14ac:dyDescent="0.25">
      <c r="A130" s="20" t="s">
        <v>107</v>
      </c>
      <c r="B130" s="20" t="s">
        <v>152</v>
      </c>
      <c r="C130" s="21">
        <v>45917</v>
      </c>
      <c r="D130" s="36" t="s">
        <v>29</v>
      </c>
      <c r="E130" s="20"/>
      <c r="F130" s="20" t="s">
        <v>1</v>
      </c>
      <c r="G130" s="25">
        <v>-41</v>
      </c>
      <c r="H130" s="11">
        <v>21.54</v>
      </c>
      <c r="I130" s="24">
        <f>ROUND(テーブル10[[#This Row],[元金額]]*テーブル10[[#This Row],[為替レート]],0)</f>
        <v>-883</v>
      </c>
      <c r="J130" s="20"/>
      <c r="K130" s="32" t="s">
        <v>604</v>
      </c>
      <c r="L130" s="28" t="s">
        <v>648</v>
      </c>
      <c r="M130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マザーズリュックサンプル２回目 工場6黑色普通款 返金 {-41元 * 21.54円/元, PO-0028}</v>
      </c>
      <c r="N130" s="29" cm="1">
        <f t="array" ref="N130">-SUMPRODUCT((B$2:B$167=B130)*((C$2:C$167&lt;C130)+(C$2:C$167=C130)*(ROW(G$2:G$167)&lt;=ROW(G130)))*G$2:G$167)</f>
        <v>2376.9475080062575</v>
      </c>
      <c r="O130" s="29" cm="1">
        <f t="array" ref="O130">-SUMPRODUCT((B$2:B$167=B130)*((C$2:C$167&lt;C130)+(C$2:C$167=C130)*(ROW(I$2:I$167)&lt;=ROW(I130)))*I$2:I$167)</f>
        <v>50379</v>
      </c>
      <c r="P130" s="29">
        <f>ROUND(テーブル10[[#This Row],[為替レート]]*テーブル10[[#This Row],[元残高]],0)</f>
        <v>51199</v>
      </c>
      <c r="Q130" s="42">
        <f>テーブル10[[#This Row],[円残高]]-テーブル10[[#This Row],[円残高_時価]]</f>
        <v>-820</v>
      </c>
    </row>
    <row r="131" spans="1:17" ht="18" customHeight="1" x14ac:dyDescent="0.25">
      <c r="A131" s="20" t="s">
        <v>107</v>
      </c>
      <c r="B131" s="20" t="s">
        <v>152</v>
      </c>
      <c r="C131" s="21">
        <v>45919</v>
      </c>
      <c r="D131" s="36" t="s">
        <v>4</v>
      </c>
      <c r="E131" s="20" t="s">
        <v>15</v>
      </c>
      <c r="F131" s="20" t="s">
        <v>1</v>
      </c>
      <c r="G131" s="25">
        <v>421</v>
      </c>
      <c r="H131" s="11">
        <v>21.54</v>
      </c>
      <c r="I131" s="24">
        <f>ROUND(テーブル10[[#This Row],[元金額]]*テーブル10[[#This Row],[為替レート]],0)</f>
        <v>9068</v>
      </c>
      <c r="J131" s="20" t="s">
        <v>498</v>
      </c>
      <c r="K131" s="32" t="s">
        <v>88</v>
      </c>
      <c r="L131" s="11" t="s">
        <v>87</v>
      </c>
      <c r="M131" s="20" t="str">
        <f>テーブル10[[#This Row],[メモ]]&amp;" {"&amp;テーブル10[[#This Row],[元金額]]&amp;"元 * "&amp;テーブル10[[#This Row],[為替レート]]&amp;"円/元, "&amp;テーブル10[[#This Row],[配賦ID]]&amp;"}"</f>
        <v>DQS PO-0026_発注書+前回返品分　合計2箱　2025.8.7 {421元 * 21.54円/元, DQS2962481EQ}</v>
      </c>
      <c r="N131" s="29" cm="1">
        <f t="array" ref="N131">-SUMPRODUCT((B$2:B$167=B131)*((C$2:C$167&lt;C131)+(C$2:C$167=C131)*(ROW(G$2:G$167)&lt;=ROW(G131)))*G$2:G$167)</f>
        <v>1955.9475080062575</v>
      </c>
      <c r="O131" s="29" cm="1">
        <f t="array" ref="O131">-SUMPRODUCT((B$2:B$167=B131)*((C$2:C$167&lt;C131)+(C$2:C$167=C131)*(ROW(I$2:I$167)&lt;=ROW(I131)))*I$2:I$167)</f>
        <v>41311</v>
      </c>
      <c r="P131" s="29">
        <f>ROUND(テーブル10[[#This Row],[為替レート]]*テーブル10[[#This Row],[元残高]],0)</f>
        <v>42131</v>
      </c>
      <c r="Q131" s="42">
        <f>テーブル10[[#This Row],[円残高]]-テーブル10[[#This Row],[円残高_時価]]</f>
        <v>-820</v>
      </c>
    </row>
    <row r="132" spans="1:17" ht="18" customHeight="1" x14ac:dyDescent="0.25">
      <c r="A132" s="20" t="s">
        <v>107</v>
      </c>
      <c r="B132" s="20" t="s">
        <v>152</v>
      </c>
      <c r="C132" s="21">
        <v>45926</v>
      </c>
      <c r="D132" s="36" t="s">
        <v>29</v>
      </c>
      <c r="E132" s="20"/>
      <c r="F132" s="20" t="s">
        <v>1</v>
      </c>
      <c r="G132" s="25">
        <v>360</v>
      </c>
      <c r="H132" s="11">
        <v>21.54</v>
      </c>
      <c r="I132" s="24">
        <f>ROUND(テーブル10[[#This Row],[元金額]]*テーブル10[[#This Row],[為替レート]],0)</f>
        <v>7754</v>
      </c>
      <c r="J132" s="20"/>
      <c r="K132" s="32"/>
      <c r="L132" s="17" t="s">
        <v>649</v>
      </c>
      <c r="M132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お食事エプロンパッケージ袋 本発注 {360元 * 21.54円/元, }</v>
      </c>
      <c r="N132" s="29" cm="1">
        <f t="array" ref="N132">-SUMPRODUCT((B$2:B$167=B132)*((C$2:C$167&lt;C132)+(C$2:C$167=C132)*(ROW(G$2:G$167)&lt;=ROW(G132)))*G$2:G$167)</f>
        <v>1595.9475080062575</v>
      </c>
      <c r="O132" s="29" cm="1">
        <f t="array" ref="O132">-SUMPRODUCT((B$2:B$167=B132)*((C$2:C$167&lt;C132)+(C$2:C$167=C132)*(ROW(I$2:I$167)&lt;=ROW(I132)))*I$2:I$167)</f>
        <v>33557</v>
      </c>
      <c r="P132" s="29">
        <f>ROUND(テーブル10[[#This Row],[為替レート]]*テーブル10[[#This Row],[元残高]],0)</f>
        <v>34377</v>
      </c>
      <c r="Q132" s="42">
        <f>テーブル10[[#This Row],[円残高]]-テーブル10[[#This Row],[円残高_時価]]</f>
        <v>-820</v>
      </c>
    </row>
    <row r="133" spans="1:17" ht="18" customHeight="1" x14ac:dyDescent="0.25">
      <c r="A133" s="20" t="s">
        <v>107</v>
      </c>
      <c r="B133" s="20" t="s">
        <v>152</v>
      </c>
      <c r="C133" s="21">
        <v>45926</v>
      </c>
      <c r="D133" s="36" t="s">
        <v>4</v>
      </c>
      <c r="E133" s="20" t="s">
        <v>50</v>
      </c>
      <c r="F133" s="20" t="s">
        <v>1</v>
      </c>
      <c r="G133" s="25">
        <v>280</v>
      </c>
      <c r="H133" s="11">
        <v>21.54</v>
      </c>
      <c r="I133" s="24">
        <f>ROUND(テーブル10[[#This Row],[元金額]]*テーブル10[[#This Row],[為替レート]],0)</f>
        <v>6031</v>
      </c>
      <c r="J133" s="20"/>
      <c r="K133" s="32" t="s">
        <v>89</v>
      </c>
      <c r="L133" s="28" t="s">
        <v>650</v>
      </c>
      <c r="M133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お食事エプロン用 洗濯タグ 2000個 {280元 * 21.54円/元, PO-0032}</v>
      </c>
      <c r="N133" s="29" cm="1">
        <f t="array" ref="N133">-SUMPRODUCT((B$2:B$167=B133)*((C$2:C$167&lt;C133)+(C$2:C$167=C133)*(ROW(G$2:G$167)&lt;=ROW(G133)))*G$2:G$167)</f>
        <v>1315.9475080062575</v>
      </c>
      <c r="O133" s="29" cm="1">
        <f t="array" ref="O133">-SUMPRODUCT((B$2:B$167=B133)*((C$2:C$167&lt;C133)+(C$2:C$167=C133)*(ROW(I$2:I$167)&lt;=ROW(I133)))*I$2:I$167)</f>
        <v>27526</v>
      </c>
      <c r="P133" s="29">
        <f>ROUND(テーブル10[[#This Row],[為替レート]]*テーブル10[[#This Row],[元残高]],0)</f>
        <v>28346</v>
      </c>
      <c r="Q133" s="42">
        <f>テーブル10[[#This Row],[円残高]]-テーブル10[[#This Row],[円残高_時価]]</f>
        <v>-820</v>
      </c>
    </row>
    <row r="134" spans="1:17" ht="18" customHeight="1" x14ac:dyDescent="0.25">
      <c r="A134" s="20" t="s">
        <v>107</v>
      </c>
      <c r="B134" s="20" t="s">
        <v>152</v>
      </c>
      <c r="C134" s="21">
        <v>45926</v>
      </c>
      <c r="D134" s="36" t="s">
        <v>4</v>
      </c>
      <c r="E134" s="20" t="s">
        <v>50</v>
      </c>
      <c r="F134" s="20" t="s">
        <v>1</v>
      </c>
      <c r="G134" s="25">
        <v>12430</v>
      </c>
      <c r="H134" s="11">
        <v>21.54</v>
      </c>
      <c r="I134" s="24">
        <f>ROUND(テーブル10[[#This Row],[元金額]]*テーブル10[[#This Row],[為替レート]],0)</f>
        <v>267742</v>
      </c>
      <c r="J134" s="20"/>
      <c r="K134" s="32" t="s">
        <v>90</v>
      </c>
      <c r="L134" s="27" t="s">
        <v>651</v>
      </c>
      <c r="M134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{12430元 * 21.54円/元, PO-0031}</v>
      </c>
      <c r="N134" s="29" cm="1">
        <f t="array" ref="N134">-SUMPRODUCT((B$2:B$167=B134)*((C$2:C$167&lt;C134)+(C$2:C$167=C134)*(ROW(G$2:G$167)&lt;=ROW(G134)))*G$2:G$167)</f>
        <v>-11114.052491993742</v>
      </c>
      <c r="O134" s="29" cm="1">
        <f t="array" ref="O134">-SUMPRODUCT((B$2:B$167=B134)*((C$2:C$167&lt;C134)+(C$2:C$167=C134)*(ROW(I$2:I$167)&lt;=ROW(I134)))*I$2:I$167)</f>
        <v>-240216</v>
      </c>
      <c r="P134" s="29">
        <f>ROUND(テーブル10[[#This Row],[為替レート]]*テーブル10[[#This Row],[元残高]],0)</f>
        <v>-239397</v>
      </c>
      <c r="Q134" s="42">
        <f>テーブル10[[#This Row],[円残高]]-テーブル10[[#This Row],[円残高_時価]]</f>
        <v>-819</v>
      </c>
    </row>
    <row r="135" spans="1:17" ht="18" customHeight="1" x14ac:dyDescent="0.25">
      <c r="A135" s="20" t="s">
        <v>107</v>
      </c>
      <c r="B135" s="20" t="s">
        <v>152</v>
      </c>
      <c r="C135" s="21">
        <v>45939</v>
      </c>
      <c r="D135" s="36" t="s">
        <v>172</v>
      </c>
      <c r="E135" s="20"/>
      <c r="F135" s="20" t="s">
        <v>1</v>
      </c>
      <c r="G135" s="25">
        <f>-300000/22.67</f>
        <v>-13233.348037053374</v>
      </c>
      <c r="H135" s="11">
        <v>22.67</v>
      </c>
      <c r="I135" s="24">
        <f>ROUND(テーブル10[[#This Row],[元金額]]*テーブル10[[#This Row],[為替レート]],0)</f>
        <v>-300000</v>
      </c>
      <c r="J135" s="20"/>
      <c r="K135" s="32"/>
      <c r="L135" s="18" t="s">
        <v>590</v>
      </c>
      <c r="M135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{-13233.3480370534元 * 22.67円/元, }</v>
      </c>
      <c r="N135" s="29" cm="1">
        <f t="array" ref="N135">-SUMPRODUCT((B$2:B$167=B135)*((C$2:C$167&lt;C135)+(C$2:C$167=C135)*(ROW(G$2:G$167)&lt;=ROW(G135)))*G$2:G$167)</f>
        <v>2119.2955450596328</v>
      </c>
      <c r="O135" s="29" cm="1">
        <f t="array" ref="O135">-SUMPRODUCT((B$2:B$167=B135)*((C$2:C$167&lt;C135)+(C$2:C$167=C135)*(ROW(I$2:I$167)&lt;=ROW(I135)))*I$2:I$167)</f>
        <v>59784</v>
      </c>
      <c r="P135" s="29">
        <f>ROUND(テーブル10[[#This Row],[為替レート]]*テーブル10[[#This Row],[元残高]],0)</f>
        <v>48044</v>
      </c>
      <c r="Q135" s="42">
        <f>テーブル10[[#This Row],[円残高]]-テーブル10[[#This Row],[円残高_時価]]</f>
        <v>11740</v>
      </c>
    </row>
    <row r="136" spans="1:17" ht="18" customHeight="1" x14ac:dyDescent="0.25">
      <c r="A136" s="20" t="s">
        <v>107</v>
      </c>
      <c r="B136" s="20" t="s">
        <v>152</v>
      </c>
      <c r="C136" s="21">
        <v>45939</v>
      </c>
      <c r="D136" s="38" t="s">
        <v>145</v>
      </c>
      <c r="E136" s="20"/>
      <c r="F136" s="20" t="s">
        <v>1</v>
      </c>
      <c r="G136" s="25">
        <f>-G135*0.02</f>
        <v>264.6669607410675</v>
      </c>
      <c r="H136" s="11">
        <v>22.67</v>
      </c>
      <c r="I136" s="24">
        <f>ROUND(テーブル10[[#This Row],[元金額]]*テーブル10[[#This Row],[為替レート]],0)</f>
        <v>6000</v>
      </c>
      <c r="J136" s="20"/>
      <c r="K136" s="32"/>
      <c r="L136" s="39" t="s">
        <v>591</v>
      </c>
      <c r="M136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{264.666960741067元 * 22.67円/元, }</v>
      </c>
      <c r="N136" s="29" cm="1">
        <f t="array" ref="N136">-SUMPRODUCT((B$2:B$167=B136)*((C$2:C$167&lt;C136)+(C$2:C$167=C136)*(ROW(G$2:G$167)&lt;=ROW(G136)))*G$2:G$167)</f>
        <v>1854.6285843185653</v>
      </c>
      <c r="O136" s="29" cm="1">
        <f t="array" ref="O136">-SUMPRODUCT((B$2:B$167=B136)*((C$2:C$167&lt;C136)+(C$2:C$167=C136)*(ROW(I$2:I$167)&lt;=ROW(I136)))*I$2:I$167)</f>
        <v>53784</v>
      </c>
      <c r="P136" s="29">
        <f>ROUND(テーブル10[[#This Row],[為替レート]]*テーブル10[[#This Row],[元残高]],0)</f>
        <v>42044</v>
      </c>
      <c r="Q136" s="42">
        <f>テーブル10[[#This Row],[円残高]]-テーブル10[[#This Row],[円残高_時価]]</f>
        <v>11740</v>
      </c>
    </row>
    <row r="137" spans="1:17" ht="18" customHeight="1" x14ac:dyDescent="0.25">
      <c r="A137" s="20" t="s">
        <v>107</v>
      </c>
      <c r="B137" s="20" t="s">
        <v>152</v>
      </c>
      <c r="C137" s="21">
        <v>45952</v>
      </c>
      <c r="D137" s="36" t="s">
        <v>4</v>
      </c>
      <c r="E137" s="20" t="s">
        <v>151</v>
      </c>
      <c r="F137" s="20" t="s">
        <v>1</v>
      </c>
      <c r="G137" s="25">
        <v>15</v>
      </c>
      <c r="H137" s="11">
        <v>22.67</v>
      </c>
      <c r="I137" s="24">
        <f>ROUND(テーブル10[[#This Row],[元金額]]*テーブル10[[#This Row],[為替レート]],0)</f>
        <v>340</v>
      </c>
      <c r="J137" s="20"/>
      <c r="K137" s="32" t="s">
        <v>90</v>
      </c>
      <c r="L137" s="11" t="s">
        <v>91</v>
      </c>
      <c r="M137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お食事エプロン不良品返品の国内送料 {15元 * 22.67円/元, PO-0031}</v>
      </c>
      <c r="N137" s="29" cm="1">
        <f t="array" ref="N137">-SUMPRODUCT((B$2:B$167=B137)*((C$2:C$167&lt;C137)+(C$2:C$167=C137)*(ROW(G$2:G$167)&lt;=ROW(G137)))*G$2:G$167)</f>
        <v>1839.6285843185653</v>
      </c>
      <c r="O137" s="29" cm="1">
        <f t="array" ref="O137">-SUMPRODUCT((B$2:B$167=B137)*((C$2:C$167&lt;C137)+(C$2:C$167=C137)*(ROW(I$2:I$167)&lt;=ROW(I137)))*I$2:I$167)</f>
        <v>53444</v>
      </c>
      <c r="P137" s="29">
        <f>ROUND(テーブル10[[#This Row],[為替レート]]*テーブル10[[#This Row],[元残高]],0)</f>
        <v>41704</v>
      </c>
      <c r="Q137" s="42">
        <f>テーブル10[[#This Row],[円残高]]-テーブル10[[#This Row],[円残高_時価]]</f>
        <v>11740</v>
      </c>
    </row>
    <row r="138" spans="1:17" ht="18" customHeight="1" x14ac:dyDescent="0.25">
      <c r="A138" s="20" t="s">
        <v>107</v>
      </c>
      <c r="B138" s="20" t="s">
        <v>152</v>
      </c>
      <c r="C138" s="21">
        <v>45954</v>
      </c>
      <c r="D138" s="36" t="s">
        <v>29</v>
      </c>
      <c r="E138" s="20"/>
      <c r="F138" s="20" t="s">
        <v>1</v>
      </c>
      <c r="G138" s="25">
        <v>269</v>
      </c>
      <c r="H138" s="11">
        <v>22.67</v>
      </c>
      <c r="I138" s="24">
        <f>ROUND(テーブル10[[#This Row],[元金額]]*テーブル10[[#This Row],[為替レート]],0)</f>
        <v>6098</v>
      </c>
      <c r="J138" s="20" t="s">
        <v>498</v>
      </c>
      <c r="K138" s="32" t="s">
        <v>601</v>
      </c>
      <c r="L138" s="11" t="s">
        <v>652</v>
      </c>
      <c r="M138" s="20" t="str">
        <f>テーブル10[[#This Row],[メモ]]&amp;" {"&amp;テーブル10[[#This Row],[元金額]]&amp;"元 * "&amp;テーブル10[[#This Row],[為替レート]]&amp;"円/元, "&amp;テーブル10[[#This Row],[配賦ID]]&amp;"}"</f>
        <v>OCS　マザーズリュックサンプル+PE袋2個　合計1箱　2025.9.8 {269元 * 22.67円/元, 26022453170}</v>
      </c>
      <c r="N138" s="29" cm="1">
        <f t="array" ref="N138">-SUMPRODUCT((B$2:B$167=B138)*((C$2:C$167&lt;C138)+(C$2:C$167=C138)*(ROW(G$2:G$167)&lt;=ROW(G138)))*G$2:G$167)</f>
        <v>1570.6285843185653</v>
      </c>
      <c r="O138" s="29" cm="1">
        <f t="array" ref="O138">-SUMPRODUCT((B$2:B$167=B138)*((C$2:C$167&lt;C138)+(C$2:C$167=C138)*(ROW(I$2:I$167)&lt;=ROW(I138)))*I$2:I$167)</f>
        <v>47346</v>
      </c>
      <c r="P138" s="29">
        <f>ROUND(テーブル10[[#This Row],[為替レート]]*テーブル10[[#This Row],[元残高]],0)</f>
        <v>35606</v>
      </c>
      <c r="Q138" s="42">
        <f>テーブル10[[#This Row],[円残高]]-テーブル10[[#This Row],[円残高_時価]]</f>
        <v>11740</v>
      </c>
    </row>
    <row r="139" spans="1:17" ht="18" customHeight="1" x14ac:dyDescent="0.25">
      <c r="A139" s="20" t="s">
        <v>107</v>
      </c>
      <c r="B139" s="20" t="s">
        <v>152</v>
      </c>
      <c r="C139" s="21">
        <v>45961</v>
      </c>
      <c r="D139" s="36" t="s">
        <v>29</v>
      </c>
      <c r="E139" s="20"/>
      <c r="F139" s="20" t="s">
        <v>1</v>
      </c>
      <c r="G139" s="25">
        <v>7.6</v>
      </c>
      <c r="H139" s="11">
        <v>22.67</v>
      </c>
      <c r="I139" s="24">
        <f>ROUND(テーブル10[[#This Row],[元金額]]*テーブル10[[#This Row],[為替レート]],0)</f>
        <v>172</v>
      </c>
      <c r="J139" s="20"/>
      <c r="K139" s="32" t="s">
        <v>599</v>
      </c>
      <c r="L139" s="28" t="s">
        <v>653</v>
      </c>
      <c r="M139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マザーズリュックパッケージ袋サンプル　工場1 {7.6元 * 22.67円/元, PO-0033}</v>
      </c>
      <c r="N139" s="29" cm="1">
        <f t="array" ref="N139">-SUMPRODUCT((B$2:B$167=B139)*((C$2:C$167&lt;C139)+(C$2:C$167=C139)*(ROW(G$2:G$167)&lt;=ROW(G139)))*G$2:G$167)</f>
        <v>1563.0285843185654</v>
      </c>
      <c r="O139" s="29" cm="1">
        <f t="array" ref="O139">-SUMPRODUCT((B$2:B$167=B139)*((C$2:C$167&lt;C139)+(C$2:C$167=C139)*(ROW(I$2:I$167)&lt;=ROW(I139)))*I$2:I$167)</f>
        <v>47174</v>
      </c>
      <c r="P139" s="29">
        <f>ROUND(テーブル10[[#This Row],[為替レート]]*テーブル10[[#This Row],[元残高]],0)</f>
        <v>35434</v>
      </c>
      <c r="Q139" s="42">
        <f>テーブル10[[#This Row],[円残高]]-テーブル10[[#This Row],[円残高_時価]]</f>
        <v>11740</v>
      </c>
    </row>
    <row r="140" spans="1:17" ht="18" customHeight="1" x14ac:dyDescent="0.25">
      <c r="A140" s="20" t="s">
        <v>107</v>
      </c>
      <c r="B140" s="20" t="s">
        <v>152</v>
      </c>
      <c r="C140" s="21">
        <v>45961</v>
      </c>
      <c r="D140" s="36" t="s">
        <v>29</v>
      </c>
      <c r="E140" s="20"/>
      <c r="F140" s="20" t="s">
        <v>1</v>
      </c>
      <c r="G140" s="25">
        <v>8</v>
      </c>
      <c r="H140" s="11">
        <v>22.67</v>
      </c>
      <c r="I140" s="24">
        <f>ROUND(テーブル10[[#This Row],[元金額]]*テーブル10[[#This Row],[為替レート]],0)</f>
        <v>181</v>
      </c>
      <c r="J140" s="20"/>
      <c r="K140" s="32" t="s">
        <v>599</v>
      </c>
      <c r="L140" s="28" t="s">
        <v>654</v>
      </c>
      <c r="M140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マザーズリュックパッケージ袋サンプル　工場2 {8元 * 22.67円/元, PO-0033}</v>
      </c>
      <c r="N140" s="29" cm="1">
        <f t="array" ref="N140">-SUMPRODUCT((B$2:B$167=B140)*((C$2:C$167&lt;C140)+(C$2:C$167=C140)*(ROW(G$2:G$167)&lt;=ROW(G140)))*G$2:G$167)</f>
        <v>1555.0285843185654</v>
      </c>
      <c r="O140" s="29" cm="1">
        <f t="array" ref="O140">-SUMPRODUCT((B$2:B$167=B140)*((C$2:C$167&lt;C140)+(C$2:C$167=C140)*(ROW(I$2:I$167)&lt;=ROW(I140)))*I$2:I$167)</f>
        <v>46993</v>
      </c>
      <c r="P140" s="29">
        <f>ROUND(テーブル10[[#This Row],[為替レート]]*テーブル10[[#This Row],[元残高]],0)</f>
        <v>35252</v>
      </c>
      <c r="Q140" s="42">
        <f>テーブル10[[#This Row],[円残高]]-テーブル10[[#This Row],[円残高_時価]]</f>
        <v>11741</v>
      </c>
    </row>
    <row r="141" spans="1:17" ht="18" customHeight="1" x14ac:dyDescent="0.25">
      <c r="A141" s="20" t="s">
        <v>107</v>
      </c>
      <c r="B141" s="20" t="s">
        <v>152</v>
      </c>
      <c r="C141" s="21">
        <v>45961</v>
      </c>
      <c r="D141" s="36" t="s">
        <v>29</v>
      </c>
      <c r="E141" s="20"/>
      <c r="F141" s="20" t="s">
        <v>1</v>
      </c>
      <c r="G141" s="25">
        <v>2220</v>
      </c>
      <c r="H141" s="11">
        <v>22.67</v>
      </c>
      <c r="I141" s="24">
        <f>ROUND(テーブル10[[#This Row],[元金額]]*テーブル10[[#This Row],[為替レート]],0)</f>
        <v>50327</v>
      </c>
      <c r="J141" s="20"/>
      <c r="K141" s="32" t="s">
        <v>600</v>
      </c>
      <c r="L141" s="28" t="s">
        <v>655</v>
      </c>
      <c r="M141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マザーズリュック2色×30個 {2220元 * 22.67円/元, PO-0034}</v>
      </c>
      <c r="N141" s="29" cm="1">
        <f t="array" ref="N141">-SUMPRODUCT((B$2:B$167=B141)*((C$2:C$167&lt;C141)+(C$2:C$167=C141)*(ROW(G$2:G$167)&lt;=ROW(G141)))*G$2:G$167)</f>
        <v>-664.97141568143456</v>
      </c>
      <c r="O141" s="29" cm="1">
        <f t="array" ref="O141">-SUMPRODUCT((B$2:B$167=B141)*((C$2:C$167&lt;C141)+(C$2:C$167=C141)*(ROW(I$2:I$167)&lt;=ROW(I141)))*I$2:I$167)</f>
        <v>-3334</v>
      </c>
      <c r="P141" s="29">
        <f>ROUND(テーブル10[[#This Row],[為替レート]]*テーブル10[[#This Row],[元残高]],0)</f>
        <v>-15075</v>
      </c>
      <c r="Q141" s="42">
        <f>テーブル10[[#This Row],[円残高]]-テーブル10[[#This Row],[円残高_時価]]</f>
        <v>11741</v>
      </c>
    </row>
    <row r="142" spans="1:17" ht="18" customHeight="1" x14ac:dyDescent="0.25">
      <c r="A142" s="20" t="s">
        <v>107</v>
      </c>
      <c r="B142" s="20" t="s">
        <v>152</v>
      </c>
      <c r="C142" s="21">
        <v>45965</v>
      </c>
      <c r="D142" s="36" t="s">
        <v>172</v>
      </c>
      <c r="E142" s="20"/>
      <c r="F142" s="20" t="s">
        <v>1</v>
      </c>
      <c r="G142" s="25">
        <f>-100000/22.96</f>
        <v>-4355.4006968641115</v>
      </c>
      <c r="H142" s="11">
        <v>22.96</v>
      </c>
      <c r="I142" s="24">
        <f>ROUND(テーブル10[[#This Row],[元金額]]*テーブル10[[#This Row],[為替レート]],0)</f>
        <v>-100000</v>
      </c>
      <c r="J142" s="20"/>
      <c r="K142" s="32"/>
      <c r="L142" s="18" t="s">
        <v>590</v>
      </c>
      <c r="M142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{-4355.40069686411元 * 22.96円/元, }</v>
      </c>
      <c r="N142" s="29" cm="1">
        <f t="array" ref="N142">-SUMPRODUCT((B$2:B$167=B142)*((C$2:C$167&lt;C142)+(C$2:C$167=C142)*(ROW(G$2:G$167)&lt;=ROW(G142)))*G$2:G$167)</f>
        <v>3690.4292811826772</v>
      </c>
      <c r="O142" s="29" cm="1">
        <f t="array" ref="O142">-SUMPRODUCT((B$2:B$167=B142)*((C$2:C$167&lt;C142)+(C$2:C$167=C142)*(ROW(I$2:I$167)&lt;=ROW(I142)))*I$2:I$167)</f>
        <v>96666</v>
      </c>
      <c r="P142" s="29">
        <f>ROUND(テーブル10[[#This Row],[為替レート]]*テーブル10[[#This Row],[元残高]],0)</f>
        <v>84732</v>
      </c>
      <c r="Q142" s="42">
        <f>テーブル10[[#This Row],[円残高]]-テーブル10[[#This Row],[円残高_時価]]</f>
        <v>11934</v>
      </c>
    </row>
    <row r="143" spans="1:17" ht="18" customHeight="1" x14ac:dyDescent="0.25">
      <c r="A143" s="20" t="s">
        <v>107</v>
      </c>
      <c r="B143" s="20" t="s">
        <v>152</v>
      </c>
      <c r="C143" s="21">
        <v>45965</v>
      </c>
      <c r="D143" s="38" t="s">
        <v>145</v>
      </c>
      <c r="E143" s="20"/>
      <c r="F143" s="20" t="s">
        <v>1</v>
      </c>
      <c r="G143" s="25">
        <f>-G142*0.02</f>
        <v>87.108013937282237</v>
      </c>
      <c r="H143" s="11">
        <v>22.96</v>
      </c>
      <c r="I143" s="24">
        <f>ROUND(テーブル10[[#This Row],[元金額]]*テーブル10[[#This Row],[為替レート]],0)</f>
        <v>2000</v>
      </c>
      <c r="J143" s="20"/>
      <c r="K143" s="32"/>
      <c r="L143" s="39" t="s">
        <v>591</v>
      </c>
      <c r="M143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{87.1080139372822元 * 22.96円/元, }</v>
      </c>
      <c r="N143" s="29" cm="1">
        <f t="array" ref="N143">-SUMPRODUCT((B$2:B$167=B143)*((C$2:C$167&lt;C143)+(C$2:C$167=C143)*(ROW(G$2:G$167)&lt;=ROW(G143)))*G$2:G$167)</f>
        <v>3603.3212672453951</v>
      </c>
      <c r="O143" s="29" cm="1">
        <f t="array" ref="O143">-SUMPRODUCT((B$2:B$167=B143)*((C$2:C$167&lt;C143)+(C$2:C$167=C143)*(ROW(I$2:I$167)&lt;=ROW(I143)))*I$2:I$167)</f>
        <v>94666</v>
      </c>
      <c r="P143" s="29">
        <f>ROUND(テーブル10[[#This Row],[為替レート]]*テーブル10[[#This Row],[元残高]],0)</f>
        <v>82732</v>
      </c>
      <c r="Q143" s="42">
        <f>テーブル10[[#This Row],[円残高]]-テーブル10[[#This Row],[円残高_時価]]</f>
        <v>11934</v>
      </c>
    </row>
    <row r="144" spans="1:17" ht="18" customHeight="1" x14ac:dyDescent="0.25">
      <c r="A144" s="20" t="s">
        <v>107</v>
      </c>
      <c r="B144" s="20" t="s">
        <v>152</v>
      </c>
      <c r="C144" s="21">
        <v>45966</v>
      </c>
      <c r="D144" s="36" t="s">
        <v>4</v>
      </c>
      <c r="E144" s="20" t="s">
        <v>527</v>
      </c>
      <c r="F144" s="20" t="s">
        <v>1</v>
      </c>
      <c r="G144" s="25">
        <v>650</v>
      </c>
      <c r="H144" s="11">
        <v>22.96</v>
      </c>
      <c r="I144" s="24">
        <f>ROUND(テーブル10[[#This Row],[元金額]]*テーブル10[[#This Row],[為替レート]],0)</f>
        <v>14924</v>
      </c>
      <c r="J144" s="20"/>
      <c r="K144" s="32" t="s">
        <v>90</v>
      </c>
      <c r="L144" s="28" t="s">
        <v>656</v>
      </c>
      <c r="M144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お食事エプロン検品26ｈ {650元 * 22.96円/元, PO-0031}</v>
      </c>
      <c r="N144" s="29" cm="1">
        <f t="array" ref="N144">-SUMPRODUCT((B$2:B$167=B144)*((C$2:C$167&lt;C144)+(C$2:C$167=C144)*(ROW(G$2:G$167)&lt;=ROW(G144)))*G$2:G$167)</f>
        <v>2953.3212672453951</v>
      </c>
      <c r="O144" s="29" cm="1">
        <f t="array" ref="O144">-SUMPRODUCT((B$2:B$167=B144)*((C$2:C$167&lt;C144)+(C$2:C$167=C144)*(ROW(I$2:I$167)&lt;=ROW(I144)))*I$2:I$167)</f>
        <v>79742</v>
      </c>
      <c r="P144" s="29">
        <f>ROUND(テーブル10[[#This Row],[為替レート]]*テーブル10[[#This Row],[元残高]],0)</f>
        <v>67808</v>
      </c>
      <c r="Q144" s="42">
        <f>テーブル10[[#This Row],[円残高]]-テーブル10[[#This Row],[円残高_時価]]</f>
        <v>11934</v>
      </c>
    </row>
    <row r="145" spans="1:20" ht="18" customHeight="1" x14ac:dyDescent="0.25">
      <c r="A145" s="20" t="s">
        <v>107</v>
      </c>
      <c r="B145" s="20" t="s">
        <v>152</v>
      </c>
      <c r="C145" s="21">
        <v>45967</v>
      </c>
      <c r="D145" s="36" t="s">
        <v>4</v>
      </c>
      <c r="E145" s="20" t="s">
        <v>527</v>
      </c>
      <c r="F145" s="20" t="s">
        <v>1</v>
      </c>
      <c r="G145" s="25">
        <v>575</v>
      </c>
      <c r="H145" s="11">
        <v>22.96</v>
      </c>
      <c r="I145" s="24">
        <f>ROUND(テーブル10[[#This Row],[元金額]]*テーブル10[[#This Row],[為替レート]],0)</f>
        <v>13202</v>
      </c>
      <c r="J145" s="20"/>
      <c r="K145" s="32" t="s">
        <v>90</v>
      </c>
      <c r="L145" s="28" t="s">
        <v>657</v>
      </c>
      <c r="M145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お食事エプロン検品23ｈ {575元 * 22.96円/元, PO-0031}</v>
      </c>
      <c r="N145" s="29" cm="1">
        <f t="array" ref="N145">-SUMPRODUCT((B$2:B$167=B145)*((C$2:C$167&lt;C145)+(C$2:C$167=C145)*(ROW(G$2:G$167)&lt;=ROW(G145)))*G$2:G$167)</f>
        <v>2378.3212672453951</v>
      </c>
      <c r="O145" s="29" cm="1">
        <f t="array" ref="O145">-SUMPRODUCT((B$2:B$167=B145)*((C$2:C$167&lt;C145)+(C$2:C$167=C145)*(ROW(I$2:I$167)&lt;=ROW(I145)))*I$2:I$167)</f>
        <v>66540</v>
      </c>
      <c r="P145" s="29">
        <f>ROUND(テーブル10[[#This Row],[為替レート]]*テーブル10[[#This Row],[元残高]],0)</f>
        <v>54606</v>
      </c>
      <c r="Q145" s="42">
        <f>テーブル10[[#This Row],[円残高]]-テーブル10[[#This Row],[円残高_時価]]</f>
        <v>11934</v>
      </c>
    </row>
    <row r="146" spans="1:20" ht="18" customHeight="1" x14ac:dyDescent="0.25">
      <c r="A146" s="20" t="s">
        <v>107</v>
      </c>
      <c r="B146" s="20" t="s">
        <v>152</v>
      </c>
      <c r="C146" s="21">
        <v>45968</v>
      </c>
      <c r="D146" s="36" t="s">
        <v>4</v>
      </c>
      <c r="E146" s="20" t="s">
        <v>527</v>
      </c>
      <c r="F146" s="20" t="s">
        <v>1</v>
      </c>
      <c r="G146" s="25">
        <v>550</v>
      </c>
      <c r="H146" s="11">
        <v>22.96</v>
      </c>
      <c r="I146" s="24">
        <f>ROUND(テーブル10[[#This Row],[元金額]]*テーブル10[[#This Row],[為替レート]],0)</f>
        <v>12628</v>
      </c>
      <c r="J146" s="20"/>
      <c r="K146" s="32" t="s">
        <v>90</v>
      </c>
      <c r="L146" s="28" t="s">
        <v>658</v>
      </c>
      <c r="M146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お食事エプロン検品22ｈ {550元 * 22.96円/元, PO-0031}</v>
      </c>
      <c r="N146" s="29" cm="1">
        <f t="array" ref="N146">-SUMPRODUCT((B$2:B$167=B146)*((C$2:C$167&lt;C146)+(C$2:C$167=C146)*(ROW(G$2:G$167)&lt;=ROW(G146)))*G$2:G$167)</f>
        <v>1828.3212672453951</v>
      </c>
      <c r="O146" s="29" cm="1">
        <f t="array" ref="O146">-SUMPRODUCT((B$2:B$167=B146)*((C$2:C$167&lt;C146)+(C$2:C$167=C146)*(ROW(I$2:I$167)&lt;=ROW(I146)))*I$2:I$167)</f>
        <v>53912</v>
      </c>
      <c r="P146" s="29">
        <f>ROUND(テーブル10[[#This Row],[為替レート]]*テーブル10[[#This Row],[元残高]],0)</f>
        <v>41978</v>
      </c>
      <c r="Q146" s="42">
        <f>テーブル10[[#This Row],[円残高]]-テーブル10[[#This Row],[円残高_時価]]</f>
        <v>11934</v>
      </c>
    </row>
    <row r="147" spans="1:20" ht="18" customHeight="1" x14ac:dyDescent="0.25">
      <c r="A147" s="20" t="s">
        <v>107</v>
      </c>
      <c r="B147" s="20" t="s">
        <v>152</v>
      </c>
      <c r="C147" s="21">
        <v>45975</v>
      </c>
      <c r="D147" s="36" t="s">
        <v>4</v>
      </c>
      <c r="E147" s="20" t="s">
        <v>151</v>
      </c>
      <c r="F147" s="20" t="s">
        <v>1</v>
      </c>
      <c r="G147" s="25">
        <v>18</v>
      </c>
      <c r="H147" s="11">
        <v>22.96</v>
      </c>
      <c r="I147" s="24">
        <f>ROUND(テーブル10[[#This Row],[元金額]]*テーブル10[[#This Row],[為替レート]],0)</f>
        <v>413</v>
      </c>
      <c r="J147" s="20"/>
      <c r="K147" s="32" t="s">
        <v>89</v>
      </c>
      <c r="L147" s="17" t="s">
        <v>659</v>
      </c>
      <c r="M147" s="20" t="str">
        <f>テーブル10[[#This Row],[メモ]]&amp;" {"&amp;テーブル10[[#This Row],[元金額]]&amp;"元 * "&amp;テーブル10[[#This Row],[為替レート]]&amp;"円/元, "&amp;テーブル10[[#This Row],[配賦ID]]&amp;"}"</f>
        <v>洗濯タグを工場に発送する国内送料 {18元 * 22.96円/元, PO-0032}</v>
      </c>
      <c r="N147" s="29" cm="1">
        <f t="array" ref="N147">-SUMPRODUCT((B$2:B$167=B147)*((C$2:C$167&lt;C147)+(C$2:C$167=C147)*(ROW(G$2:G$167)&lt;=ROW(G147)))*G$2:G$167)</f>
        <v>1810.3212672453951</v>
      </c>
      <c r="O147" s="29" cm="1">
        <f t="array" ref="O147">-SUMPRODUCT((B$2:B$167=B147)*((C$2:C$167&lt;C147)+(C$2:C$167=C147)*(ROW(I$2:I$167)&lt;=ROW(I147)))*I$2:I$167)</f>
        <v>53499</v>
      </c>
      <c r="P147" s="29">
        <f>ROUND(テーブル10[[#This Row],[為替レート]]*テーブル10[[#This Row],[元残高]],0)</f>
        <v>41565</v>
      </c>
      <c r="Q147" s="42">
        <f>テーブル10[[#This Row],[円残高]]-テーブル10[[#This Row],[円残高_時価]]</f>
        <v>11934</v>
      </c>
    </row>
    <row r="148" spans="1:20" ht="18" customHeight="1" x14ac:dyDescent="0.25">
      <c r="A148" s="20" t="s">
        <v>107</v>
      </c>
      <c r="B148" s="20" t="s">
        <v>152</v>
      </c>
      <c r="C148" s="21">
        <v>45982</v>
      </c>
      <c r="D148" s="36" t="s">
        <v>172</v>
      </c>
      <c r="E148" s="20"/>
      <c r="F148" s="20" t="s">
        <v>1</v>
      </c>
      <c r="G148" s="25">
        <f>-300000/23.42</f>
        <v>-12809.564474807856</v>
      </c>
      <c r="H148" s="11">
        <v>23.42</v>
      </c>
      <c r="I148" s="24">
        <f>ROUND(テーブル10[[#This Row],[元金額]]*テーブル10[[#This Row],[為替レート]],0)</f>
        <v>-300000</v>
      </c>
      <c r="J148" s="20"/>
      <c r="K148" s="32"/>
      <c r="L148" s="18" t="s">
        <v>590</v>
      </c>
      <c r="M148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{-12809.5644748079元 * 23.42円/元, }</v>
      </c>
      <c r="N148" s="29" cm="1">
        <f t="array" ref="N148">-SUMPRODUCT((B$2:B$167=B148)*((C$2:C$167&lt;C148)+(C$2:C$167=C148)*(ROW(G$2:G$167)&lt;=ROW(G148)))*G$2:G$167)</f>
        <v>14619.885742053251</v>
      </c>
      <c r="O148" s="29" cm="1">
        <f t="array" ref="O148">-SUMPRODUCT((B$2:B$167=B148)*((C$2:C$167&lt;C148)+(C$2:C$167=C148)*(ROW(I$2:I$167)&lt;=ROW(I148)))*I$2:I$167)</f>
        <v>353499</v>
      </c>
      <c r="P148" s="29">
        <f>ROUND(テーブル10[[#This Row],[為替レート]]*テーブル10[[#This Row],[元残高]],0)</f>
        <v>342398</v>
      </c>
      <c r="Q148" s="42">
        <f>テーブル10[[#This Row],[円残高]]-テーブル10[[#This Row],[円残高_時価]]</f>
        <v>11101</v>
      </c>
    </row>
    <row r="149" spans="1:20" ht="18" customHeight="1" x14ac:dyDescent="0.25">
      <c r="A149" s="20" t="s">
        <v>107</v>
      </c>
      <c r="B149" s="20" t="s">
        <v>152</v>
      </c>
      <c r="C149" s="21">
        <v>45982</v>
      </c>
      <c r="D149" s="38" t="s">
        <v>145</v>
      </c>
      <c r="E149" s="20"/>
      <c r="F149" s="20" t="s">
        <v>1</v>
      </c>
      <c r="G149" s="25">
        <f>-G148*0.02</f>
        <v>256.19128949615714</v>
      </c>
      <c r="H149" s="11">
        <v>23.42</v>
      </c>
      <c r="I149" s="24">
        <f>ROUND(テーブル10[[#This Row],[元金額]]*テーブル10[[#This Row],[為替レート]],0)</f>
        <v>6000</v>
      </c>
      <c r="J149" s="20"/>
      <c r="K149" s="32"/>
      <c r="L149" s="39" t="s">
        <v>591</v>
      </c>
      <c r="M149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{256.191289496157元 * 23.42円/元, }</v>
      </c>
      <c r="N149" s="29" cm="1">
        <f t="array" ref="N149">-SUMPRODUCT((B$2:B$167=B149)*((C$2:C$167&lt;C149)+(C$2:C$167=C149)*(ROW(G$2:G$167)&lt;=ROW(G149)))*G$2:G$167)</f>
        <v>14363.694452557094</v>
      </c>
      <c r="O149" s="29" cm="1">
        <f t="array" ref="O149">-SUMPRODUCT((B$2:B$167=B149)*((C$2:C$167&lt;C149)+(C$2:C$167=C149)*(ROW(I$2:I$167)&lt;=ROW(I149)))*I$2:I$167)</f>
        <v>347499</v>
      </c>
      <c r="P149" s="29">
        <f>ROUND(テーブル10[[#This Row],[為替レート]]*テーブル10[[#This Row],[元残高]],0)</f>
        <v>336398</v>
      </c>
      <c r="Q149" s="42">
        <f>テーブル10[[#This Row],[円残高]]-テーブル10[[#This Row],[円残高_時価]]</f>
        <v>11101</v>
      </c>
    </row>
    <row r="150" spans="1:20" ht="18" customHeight="1" x14ac:dyDescent="0.3">
      <c r="A150" s="20" t="s">
        <v>107</v>
      </c>
      <c r="B150" s="20" t="s">
        <v>152</v>
      </c>
      <c r="C150" s="21">
        <v>45982</v>
      </c>
      <c r="D150" s="36" t="s">
        <v>4</v>
      </c>
      <c r="E150" s="20" t="s">
        <v>50</v>
      </c>
      <c r="F150" s="20" t="s">
        <v>1</v>
      </c>
      <c r="G150" s="25">
        <v>161</v>
      </c>
      <c r="H150" s="11">
        <v>23.42</v>
      </c>
      <c r="I150" s="24">
        <f>ROUND(テーブル10[[#This Row],[元金額]]*テーブル10[[#This Row],[為替レート]],0)</f>
        <v>3771</v>
      </c>
      <c r="J150" s="20"/>
      <c r="K150" s="32" t="s">
        <v>92</v>
      </c>
      <c r="L150" s="27" t="s">
        <v>664</v>
      </c>
      <c r="M150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マザーズリュックパッケージ　38*51cm【100只】*12丝乳白色*乳白色 100個 {161元 * 23.42円/元, PO-0035}</v>
      </c>
      <c r="N150" s="29" cm="1">
        <f t="array" ref="N150">-SUMPRODUCT((B$2:B$167=B150)*((C$2:C$167&lt;C150)+(C$2:C$167=C150)*(ROW(G$2:G$167)&lt;=ROW(G150)))*G$2:G$167)</f>
        <v>14202.694452557094</v>
      </c>
      <c r="O150" s="29" cm="1">
        <f t="array" ref="O150">-SUMPRODUCT((B$2:B$167=B150)*((C$2:C$167&lt;C150)+(C$2:C$167=C150)*(ROW(I$2:I$167)&lt;=ROW(I150)))*I$2:I$167)</f>
        <v>343728</v>
      </c>
      <c r="P150" s="29">
        <f>ROUND(テーブル10[[#This Row],[為替レート]]*テーブル10[[#This Row],[元残高]],0)</f>
        <v>332627</v>
      </c>
      <c r="Q150" s="42">
        <f>テーブル10[[#This Row],[円残高]]-テーブル10[[#This Row],[円残高_時価]]</f>
        <v>11101</v>
      </c>
    </row>
    <row r="151" spans="1:20" ht="18" customHeight="1" x14ac:dyDescent="0.25">
      <c r="A151" s="20" t="s">
        <v>107</v>
      </c>
      <c r="B151" s="20" t="s">
        <v>152</v>
      </c>
      <c r="C151" s="21">
        <v>45987</v>
      </c>
      <c r="D151" s="36" t="s">
        <v>4</v>
      </c>
      <c r="E151" s="20" t="s">
        <v>50</v>
      </c>
      <c r="F151" s="20" t="s">
        <v>1</v>
      </c>
      <c r="G151" s="25">
        <v>12210</v>
      </c>
      <c r="H151" s="11">
        <v>23.42</v>
      </c>
      <c r="I151" s="24">
        <f>ROUND(テーブル10[[#This Row],[元金額]]*テーブル10[[#This Row],[為替レート]],0)</f>
        <v>285958</v>
      </c>
      <c r="J151" s="20"/>
      <c r="K151" s="32" t="s">
        <v>93</v>
      </c>
      <c r="L151" s="18" t="s">
        <v>660</v>
      </c>
      <c r="M151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お食事エプロンPU袖なし {12210元 * 23.42円/元, PO-0036}</v>
      </c>
      <c r="N151" s="29" cm="1">
        <f t="array" ref="N151">-SUMPRODUCT((B$2:B$167=B151)*((C$2:C$167&lt;C151)+(C$2:C$167=C151)*(ROW(G$2:G$167)&lt;=ROW(G151)))*G$2:G$167)</f>
        <v>1992.6944525570943</v>
      </c>
      <c r="O151" s="29" cm="1">
        <f t="array" ref="O151">-SUMPRODUCT((B$2:B$167=B151)*((C$2:C$167&lt;C151)+(C$2:C$167=C151)*(ROW(I$2:I$167)&lt;=ROW(I151)))*I$2:I$167)</f>
        <v>57770</v>
      </c>
      <c r="P151" s="29">
        <f>ROUND(テーブル10[[#This Row],[為替レート]]*テーブル10[[#This Row],[元残高]],0)</f>
        <v>46669</v>
      </c>
      <c r="Q151" s="42">
        <f>テーブル10[[#This Row],[円残高]]-テーブル10[[#This Row],[円残高_時価]]</f>
        <v>11101</v>
      </c>
    </row>
    <row r="152" spans="1:20" ht="18" customHeight="1" x14ac:dyDescent="0.25">
      <c r="A152" s="20" t="s">
        <v>107</v>
      </c>
      <c r="B152" s="20" t="s">
        <v>152</v>
      </c>
      <c r="C152" s="21">
        <v>45995</v>
      </c>
      <c r="D152" s="36" t="s">
        <v>4</v>
      </c>
      <c r="E152" s="20" t="s">
        <v>151</v>
      </c>
      <c r="F152" s="20" t="s">
        <v>1</v>
      </c>
      <c r="G152" s="25">
        <v>23</v>
      </c>
      <c r="H152" s="11">
        <v>23.42</v>
      </c>
      <c r="I152" s="24">
        <f>ROUND(テーブル10[[#This Row],[元金額]]*テーブル10[[#This Row],[為替レート]],0)</f>
        <v>539</v>
      </c>
      <c r="J152" s="20"/>
      <c r="K152" s="32" t="s">
        <v>90</v>
      </c>
      <c r="L152" s="11" t="s">
        <v>610</v>
      </c>
      <c r="M152" s="20" t="str">
        <f>テーブル10[[#This Row],[メモ]]&amp;" {"&amp;テーブル10[[#This Row],[元金額]]&amp;"元 * "&amp;テーブル10[[#This Row],[為替レート]]&amp;"円/元, "&amp;テーブル10[[#This Row],[配賦ID]]&amp;"}"</f>
        <v>洗濯タグと前回不良品を工場に発送する国内送料 {23元 * 23.42円/元, PO-0031}</v>
      </c>
      <c r="N152" s="29" cm="1">
        <f t="array" ref="N152">-SUMPRODUCT((B$2:B$167=B152)*((C$2:C$167&lt;C152)+(C$2:C$167=C152)*(ROW(G$2:G$167)&lt;=ROW(G152)))*G$2:G$167)</f>
        <v>1969.6944525570943</v>
      </c>
      <c r="O152" s="29" cm="1">
        <f t="array" ref="O152">-SUMPRODUCT((B$2:B$167=B152)*((C$2:C$167&lt;C152)+(C$2:C$167=C152)*(ROW(I$2:I$167)&lt;=ROW(I152)))*I$2:I$167)</f>
        <v>57231</v>
      </c>
      <c r="P152" s="29">
        <f>ROUND(テーブル10[[#This Row],[為替レート]]*テーブル10[[#This Row],[元残高]],0)</f>
        <v>46130</v>
      </c>
      <c r="Q152" s="42">
        <f>テーブル10[[#This Row],[円残高]]-テーブル10[[#This Row],[円残高_時価]]</f>
        <v>11101</v>
      </c>
    </row>
    <row r="153" spans="1:20" ht="18" customHeight="1" x14ac:dyDescent="0.25">
      <c r="A153" s="20" t="s">
        <v>107</v>
      </c>
      <c r="B153" s="20" t="s">
        <v>152</v>
      </c>
      <c r="C153" s="21">
        <v>46016</v>
      </c>
      <c r="D153" s="36" t="s">
        <v>4</v>
      </c>
      <c r="E153" s="20" t="s">
        <v>15</v>
      </c>
      <c r="F153" s="20" t="s">
        <v>1</v>
      </c>
      <c r="G153" s="26">
        <v>1078</v>
      </c>
      <c r="H153" s="11">
        <v>23.42</v>
      </c>
      <c r="I153" s="24">
        <f>ROUND(テーブル10[[#This Row],[元金額]]*テーブル10[[#This Row],[為替レート]],0)</f>
        <v>25247</v>
      </c>
      <c r="J153" s="20" t="s">
        <v>498</v>
      </c>
      <c r="K153" s="32" t="s">
        <v>596</v>
      </c>
      <c r="L153" s="11" t="s">
        <v>594</v>
      </c>
      <c r="M153" s="20" t="str">
        <f>テーブル10[[#This Row],[メモ]]&amp;" {"&amp;テーブル10[[#This Row],[元金額]]&amp;"元 * "&amp;テーブル10[[#This Row],[為替レート]]&amp;"円/元, "&amp;テーブル10[[#This Row],[配賦ID]]&amp;"}"</f>
        <v>OCS PO-0026部分+PO-0031PUお食事エプロン　合計5箱　2025.11.11 {1078元 * 23.42円/元, 26024305252}</v>
      </c>
      <c r="N153" s="29" cm="1">
        <f t="array" ref="N153">-SUMPRODUCT((B$2:B$167=B153)*((C$2:C$167&lt;C153)+(C$2:C$167=C153)*(ROW(G$2:G$167)&lt;=ROW(G153)))*G$2:G$167)</f>
        <v>891.69445255709434</v>
      </c>
      <c r="O153" s="29" cm="1">
        <f t="array" ref="O153">-SUMPRODUCT((B$2:B$167=B153)*((C$2:C$167&lt;C153)+(C$2:C$167=C153)*(ROW(I$2:I$167)&lt;=ROW(I153)))*I$2:I$167)</f>
        <v>31984</v>
      </c>
      <c r="P153" s="29">
        <f>ROUND(テーブル10[[#This Row],[為替レート]]*テーブル10[[#This Row],[元残高]],0)</f>
        <v>20883</v>
      </c>
      <c r="Q153" s="42">
        <f>テーブル10[[#This Row],[円残高]]-テーブル10[[#This Row],[円残高_時価]]</f>
        <v>11101</v>
      </c>
    </row>
    <row r="154" spans="1:20" ht="18" customHeight="1" x14ac:dyDescent="0.25">
      <c r="A154" s="20" t="s">
        <v>107</v>
      </c>
      <c r="B154" s="20" t="s">
        <v>152</v>
      </c>
      <c r="C154" s="21">
        <v>46021</v>
      </c>
      <c r="D154" s="38" t="s">
        <v>4</v>
      </c>
      <c r="E154" s="20" t="s">
        <v>527</v>
      </c>
      <c r="F154" s="20" t="s">
        <v>1</v>
      </c>
      <c r="G154" s="25">
        <v>500</v>
      </c>
      <c r="H154" s="11">
        <v>23.42</v>
      </c>
      <c r="I154" s="24">
        <f>ROUND(テーブル10[[#This Row],[元金額]]*テーブル10[[#This Row],[為替レート]],0)</f>
        <v>11710</v>
      </c>
      <c r="J154" s="35"/>
      <c r="K154" s="32" t="s">
        <v>93</v>
      </c>
      <c r="L154" s="43" t="s">
        <v>661</v>
      </c>
      <c r="M154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 貨物搬送+検品20ｈ {500元 * 23.42円/元, PO-0036}</v>
      </c>
      <c r="N154" s="8" cm="1">
        <f t="array" ref="N154">-SUMPRODUCT((B$2:B$167=B154)*((C$2:C$167&lt;C154)+(C$2:C$167=C154)*(ROW(G$2:G$167)&lt;=ROW(G154)))*G$2:G$167)</f>
        <v>391.69445255709434</v>
      </c>
      <c r="O154" s="8" cm="1">
        <f t="array" ref="O154">-SUMPRODUCT((B$2:B$167=B154)*((C$2:C$167&lt;C154)+(C$2:C$167=C154)*(ROW(I$2:I$167)&lt;=ROW(I154)))*I$2:I$167)</f>
        <v>20274</v>
      </c>
      <c r="P154" s="30">
        <f>ROUND(テーブル10[[#This Row],[為替レート]]*テーブル10[[#This Row],[元残高]],0)</f>
        <v>9173</v>
      </c>
      <c r="Q154" s="42">
        <f>テーブル10[[#This Row],[円残高]]-テーブル10[[#This Row],[円残高_時価]]</f>
        <v>11101</v>
      </c>
    </row>
    <row r="155" spans="1:20" ht="18" customHeight="1" x14ac:dyDescent="0.25">
      <c r="A155" s="20" t="s">
        <v>107</v>
      </c>
      <c r="B155" s="20" t="s">
        <v>152</v>
      </c>
      <c r="C155" s="21">
        <v>46022</v>
      </c>
      <c r="D155" s="37" t="s">
        <v>501</v>
      </c>
      <c r="E155" s="21"/>
      <c r="F155" s="20" t="s">
        <v>1</v>
      </c>
      <c r="G155" s="25"/>
      <c r="H155" s="11">
        <v>23.42</v>
      </c>
      <c r="I155" s="24">
        <v>11101</v>
      </c>
      <c r="J155" s="35"/>
      <c r="K155" s="32"/>
      <c r="L155" s="24"/>
      <c r="M155" s="40" t="s">
        <v>676</v>
      </c>
      <c r="N155" s="45" cm="1">
        <f t="array" ref="N155">-SUMPRODUCT((B$2:B$167=B155)*((C$2:C$167&lt;C155)+(C$2:C$167=C155)*(ROW(G$2:G$167)&lt;=ROW(G155)))*G$2:G$167)</f>
        <v>391.69445255709434</v>
      </c>
      <c r="O155" s="29" cm="1">
        <f t="array" ref="O155">-SUMPRODUCT((B$2:B$167=B155)*((C$2:C$167&lt;C155)+(C$2:C$167=C155)*(ROW(I$2:I$167)&lt;=ROW(I155)))*I$2:I$167)</f>
        <v>9173</v>
      </c>
      <c r="P155" s="29">
        <f>ROUND(テーブル10[[#This Row],[為替レート]]*テーブル10[[#This Row],[元残高]],0)</f>
        <v>9173</v>
      </c>
      <c r="Q155" s="42">
        <f>テーブル10[[#This Row],[円残高]]-テーブル10[[#This Row],[円残高_時価]]</f>
        <v>0</v>
      </c>
      <c r="S155" s="19">
        <v>8686.4</v>
      </c>
      <c r="T155" s="11">
        <f>S155*テーブル10[[#This Row],[為替レート]]</f>
        <v>203435.48800000001</v>
      </c>
    </row>
    <row r="156" spans="1:20" ht="18" customHeight="1" x14ac:dyDescent="0.25">
      <c r="A156" s="20" t="s">
        <v>107</v>
      </c>
      <c r="B156" s="20" t="s">
        <v>152</v>
      </c>
      <c r="C156" s="21">
        <v>46034</v>
      </c>
      <c r="D156" s="38" t="s">
        <v>4</v>
      </c>
      <c r="E156" s="20" t="s">
        <v>50</v>
      </c>
      <c r="F156" s="20" t="s">
        <v>1</v>
      </c>
      <c r="G156" s="25">
        <v>140</v>
      </c>
      <c r="H156" s="11">
        <v>23.42</v>
      </c>
      <c r="I156" s="24">
        <f>ROUND(テーブル10[[#This Row],[元金額]]*テーブル10[[#This Row],[為替レート]],0)</f>
        <v>3279</v>
      </c>
      <c r="J156" s="35"/>
      <c r="K156" s="32" t="s">
        <v>597</v>
      </c>
      <c r="L156" s="43" t="s">
        <v>662</v>
      </c>
      <c r="M156" s="20" t="str">
        <f>テーブル10[[#This Row],[メモ]]&amp;" {"&amp;テーブル10[[#This Row],[元金額]]&amp;"元 * "&amp;テーブル10[[#This Row],[為替レート]]&amp;"円/元, "&amp;テーブル10[[#This Row],[配賦ID]]&amp;"}"</f>
        <v>お食事エプロンパッケージ袋18*23cm {140元 * 23.42円/元, PO-0037}</v>
      </c>
      <c r="N156" s="8" cm="1">
        <f t="array" ref="N156">-SUMPRODUCT((B$2:B$167=B156)*((C$2:C$167&lt;C156)+(C$2:C$167=C156)*(ROW(G$2:G$167)&lt;=ROW(G156)))*G$2:G$167)</f>
        <v>-210.80554744290566</v>
      </c>
      <c r="O156" s="8" cm="1">
        <f t="array" ref="O156">-SUMPRODUCT((B$2:B$167=B156)*((C$2:C$167&lt;C156)+(C$2:C$167=C156)*(ROW(I$2:I$167)&lt;=ROW(I156)))*I$2:I$167)</f>
        <v>-4938</v>
      </c>
      <c r="P156" s="30">
        <f>ROUND(テーブル10[[#This Row],[為替レート]]*テーブル10[[#This Row],[元残高]],0)</f>
        <v>-4937</v>
      </c>
      <c r="Q156" s="42">
        <f>テーブル10[[#This Row],[円残高]]-テーブル10[[#This Row],[円残高_時価]]</f>
        <v>-1</v>
      </c>
    </row>
    <row r="157" spans="1:20" ht="18" customHeight="1" x14ac:dyDescent="0.25">
      <c r="A157" s="20" t="s">
        <v>107</v>
      </c>
      <c r="B157" s="20" t="s">
        <v>152</v>
      </c>
      <c r="C157" s="21">
        <v>46032</v>
      </c>
      <c r="D157" s="38" t="s">
        <v>4</v>
      </c>
      <c r="E157" s="20" t="s">
        <v>527</v>
      </c>
      <c r="F157" s="20" t="s">
        <v>1</v>
      </c>
      <c r="G157" s="25">
        <v>462.5</v>
      </c>
      <c r="H157" s="11">
        <v>23.42</v>
      </c>
      <c r="I157" s="24">
        <f>ROUND(テーブル10[[#This Row],[元金額]]*テーブル10[[#This Row],[為替レート]],0)</f>
        <v>10832</v>
      </c>
      <c r="J157" s="35"/>
      <c r="K157" s="32" t="s">
        <v>93</v>
      </c>
      <c r="L157" s="24" t="s">
        <v>663</v>
      </c>
      <c r="M157" s="20" t="str">
        <f>テーブル10[[#This Row],[メモ]]&amp;" {"&amp;テーブル10[[#This Row],[元金額]]&amp;"元 * "&amp;テーブル10[[#This Row],[為替レート]]&amp;"円/元, "&amp;テーブル10[[#This Row],[配賦ID]]&amp;"}"</f>
        <v>PUお食事エプロン検品18.5ｈ {462.5元 * 23.42円/元, PO-0036}</v>
      </c>
      <c r="N157" s="8" cm="1">
        <f t="array" ref="N157">-SUMPRODUCT((B$2:B$167=B157)*((C$2:C$167&lt;C157)+(C$2:C$167=C157)*(ROW(G$2:G$167)&lt;=ROW(G157)))*G$2:G$167)</f>
        <v>-70.805547442905663</v>
      </c>
      <c r="O157" s="8" cm="1">
        <f t="array" ref="O157">-SUMPRODUCT((B$2:B$167=B157)*((C$2:C$167&lt;C157)+(C$2:C$167=C157)*(ROW(I$2:I$167)&lt;=ROW(I157)))*I$2:I$167)</f>
        <v>-1659</v>
      </c>
      <c r="P157" s="30">
        <f>ROUND(テーブル10[[#This Row],[為替レート]]*テーブル10[[#This Row],[元残高]],0)</f>
        <v>-1658</v>
      </c>
      <c r="Q157" s="42">
        <f>テーブル10[[#This Row],[円残高]]-テーブル10[[#This Row],[円残高_時価]]</f>
        <v>-1</v>
      </c>
    </row>
    <row r="158" spans="1:20" ht="18" customHeight="1" x14ac:dyDescent="0.25">
      <c r="A158" s="20" t="s">
        <v>107</v>
      </c>
      <c r="B158" s="20" t="s">
        <v>152</v>
      </c>
      <c r="C158" s="21">
        <v>46034</v>
      </c>
      <c r="D158" s="38" t="s">
        <v>4</v>
      </c>
      <c r="E158" s="20" t="s">
        <v>50</v>
      </c>
      <c r="F158" s="20" t="s">
        <v>1</v>
      </c>
      <c r="G158" s="25">
        <v>2265</v>
      </c>
      <c r="H158" s="11">
        <v>23.42</v>
      </c>
      <c r="I158" s="24">
        <f>ROUND(テーブル10[[#This Row],[元金額]]*テーブル10[[#This Row],[為替レート]],0)</f>
        <v>53046</v>
      </c>
      <c r="J158" s="35"/>
      <c r="K158" s="32" t="s">
        <v>598</v>
      </c>
      <c r="L158" s="46" t="s">
        <v>665</v>
      </c>
      <c r="M158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　本発注 {2265元 * 23.42円/元, PO-0038}</v>
      </c>
      <c r="N158" s="8" cm="1">
        <f t="array" ref="N158">-SUMPRODUCT((B$2:B$167=B158)*((C$2:C$167&lt;C158)+(C$2:C$167=C158)*(ROW(G$2:G$167)&lt;=ROW(G158)))*G$2:G$167)</f>
        <v>-2475.8055474429057</v>
      </c>
      <c r="O158" s="8" cm="1">
        <f t="array" ref="O158">-SUMPRODUCT((B$2:B$167=B158)*((C$2:C$167&lt;C158)+(C$2:C$167=C158)*(ROW(I$2:I$167)&lt;=ROW(I158)))*I$2:I$167)</f>
        <v>-57984</v>
      </c>
      <c r="P158" s="30">
        <f>ROUND(テーブル10[[#This Row],[為替レート]]*テーブル10[[#This Row],[元残高]],0)</f>
        <v>-57983</v>
      </c>
      <c r="Q158" s="42">
        <f>テーブル10[[#This Row],[円残高]]-テーブル10[[#This Row],[円残高_時価]]</f>
        <v>-1</v>
      </c>
    </row>
    <row r="159" spans="1:20" ht="18" customHeight="1" x14ac:dyDescent="0.25">
      <c r="A159" s="20" t="s">
        <v>107</v>
      </c>
      <c r="B159" s="20" t="s">
        <v>152</v>
      </c>
      <c r="C159" s="21">
        <v>46034</v>
      </c>
      <c r="D159" s="38" t="s">
        <v>4</v>
      </c>
      <c r="E159" s="20" t="s">
        <v>50</v>
      </c>
      <c r="F159" s="20" t="s">
        <v>1</v>
      </c>
      <c r="G159" s="25">
        <v>141</v>
      </c>
      <c r="H159" s="11">
        <v>23.42</v>
      </c>
      <c r="I159" s="24">
        <f>ROUND(テーブル10[[#This Row],[元金額]]*テーブル10[[#This Row],[為替レート]],0)</f>
        <v>3302</v>
      </c>
      <c r="J159" s="35"/>
      <c r="K159" s="32" t="s">
        <v>605</v>
      </c>
      <c r="L159" s="43" t="s">
        <v>666</v>
      </c>
      <c r="M159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マザーズリュックパッケージ袋 本発注 {141元 * 23.42円/元, PO-0039}</v>
      </c>
      <c r="N159" s="8" cm="1">
        <f t="array" ref="N159">-SUMPRODUCT((B$2:B$167=B159)*((C$2:C$167&lt;C159)+(C$2:C$167=C159)*(ROW(G$2:G$167)&lt;=ROW(G159)))*G$2:G$167)</f>
        <v>-2616.8055474429057</v>
      </c>
      <c r="O159" s="8" cm="1">
        <f t="array" ref="O159">-SUMPRODUCT((B$2:B$167=B159)*((C$2:C$167&lt;C159)+(C$2:C$167=C159)*(ROW(I$2:I$167)&lt;=ROW(I159)))*I$2:I$167)</f>
        <v>-61286</v>
      </c>
      <c r="P159" s="30">
        <f>ROUND(テーブル10[[#This Row],[為替レート]]*テーブル10[[#This Row],[元残高]],0)</f>
        <v>-61286</v>
      </c>
      <c r="Q159" s="42">
        <f>テーブル10[[#This Row],[円残高]]-テーブル10[[#This Row],[円残高_時価]]</f>
        <v>0</v>
      </c>
    </row>
    <row r="160" spans="1:20" ht="18" customHeight="1" x14ac:dyDescent="0.25">
      <c r="A160" s="20" t="s">
        <v>107</v>
      </c>
      <c r="B160" s="20" t="s">
        <v>152</v>
      </c>
      <c r="C160" s="21">
        <v>46034</v>
      </c>
      <c r="D160" s="38" t="s">
        <v>4</v>
      </c>
      <c r="E160" s="20" t="s">
        <v>527</v>
      </c>
      <c r="F160" s="20" t="s">
        <v>1</v>
      </c>
      <c r="G160" s="25">
        <v>550</v>
      </c>
      <c r="H160" s="11">
        <v>23.42</v>
      </c>
      <c r="I160" s="24">
        <f>ROUND(テーブル10[[#This Row],[元金額]]*テーブル10[[#This Row],[為替レート]],0)</f>
        <v>12881</v>
      </c>
      <c r="J160" s="35"/>
      <c r="K160" s="32" t="s">
        <v>93</v>
      </c>
      <c r="L160" s="24" t="s">
        <v>667</v>
      </c>
      <c r="M160" s="20" t="str">
        <f>テーブル10[[#This Row],[メモ]]&amp;" {"&amp;テーブル10[[#This Row],[元金額]]&amp;"元 * "&amp;テーブル10[[#This Row],[為替レート]]&amp;"円/元, "&amp;テーブル10[[#This Row],[配賦ID]]&amp;"}"</f>
        <v>PUお食事エプロン 検品 22ｈ {550元 * 23.42円/元, PO-0036}</v>
      </c>
      <c r="N160" s="8" cm="1">
        <f t="array" ref="N160">-SUMPRODUCT((B$2:B$167=B160)*((C$2:C$167&lt;C160)+(C$2:C$167=C160)*(ROW(G$2:G$167)&lt;=ROW(G160)))*G$2:G$167)</f>
        <v>-3166.8055474429057</v>
      </c>
      <c r="O160" s="8" cm="1">
        <f t="array" ref="O160">-SUMPRODUCT((B$2:B$167=B160)*((C$2:C$167&lt;C160)+(C$2:C$167=C160)*(ROW(I$2:I$167)&lt;=ROW(I160)))*I$2:I$167)</f>
        <v>-74167</v>
      </c>
      <c r="P160" s="30">
        <f>ROUND(テーブル10[[#This Row],[為替レート]]*テーブル10[[#This Row],[元残高]],0)</f>
        <v>-74167</v>
      </c>
      <c r="Q160" s="42">
        <f>テーブル10[[#This Row],[円残高]]-テーブル10[[#This Row],[円残高_時価]]</f>
        <v>0</v>
      </c>
    </row>
    <row r="161" spans="1:17" ht="18" customHeight="1" x14ac:dyDescent="0.25">
      <c r="A161" s="20" t="s">
        <v>107</v>
      </c>
      <c r="B161" s="20" t="s">
        <v>152</v>
      </c>
      <c r="C161" s="21">
        <v>46035</v>
      </c>
      <c r="D161" s="36" t="s">
        <v>172</v>
      </c>
      <c r="E161" s="20"/>
      <c r="F161" s="20" t="s">
        <v>1</v>
      </c>
      <c r="G161" s="25">
        <f>-100000/24</f>
        <v>-4166.666666666667</v>
      </c>
      <c r="H161" s="11">
        <v>24</v>
      </c>
      <c r="I161" s="24">
        <f>ROUND(テーブル10[[#This Row],[元金額]]*テーブル10[[#This Row],[為替レート]],0)</f>
        <v>-100000</v>
      </c>
      <c r="J161" s="35"/>
      <c r="K161" s="32"/>
      <c r="L161" s="18" t="s">
        <v>590</v>
      </c>
      <c r="M161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{-4166.66666666667元 * 24円/元, }</v>
      </c>
      <c r="N161" s="8" cm="1">
        <f t="array" ref="N161">-SUMPRODUCT((B$2:B$167=B161)*((C$2:C$167&lt;C161)+(C$2:C$167=C161)*(ROW(G$2:G$167)&lt;=ROW(G161)))*G$2:G$167)</f>
        <v>999.86111922376131</v>
      </c>
      <c r="O161" s="8" cm="1">
        <f t="array" ref="O161">-SUMPRODUCT((B$2:B$167=B161)*((C$2:C$167&lt;C161)+(C$2:C$167=C161)*(ROW(I$2:I$167)&lt;=ROW(I161)))*I$2:I$167)</f>
        <v>25833</v>
      </c>
      <c r="P161" s="30">
        <f>ROUND(テーブル10[[#This Row],[為替レート]]*テーブル10[[#This Row],[元残高]],0)</f>
        <v>23997</v>
      </c>
      <c r="Q161" s="42">
        <f>テーブル10[[#This Row],[円残高]]-テーブル10[[#This Row],[円残高_時価]]</f>
        <v>1836</v>
      </c>
    </row>
    <row r="162" spans="1:17" ht="18" customHeight="1" x14ac:dyDescent="0.25">
      <c r="A162" s="20" t="s">
        <v>107</v>
      </c>
      <c r="B162" s="20" t="s">
        <v>152</v>
      </c>
      <c r="C162" s="21">
        <v>46035</v>
      </c>
      <c r="D162" s="38" t="s">
        <v>145</v>
      </c>
      <c r="E162" s="21"/>
      <c r="F162" s="20" t="s">
        <v>1</v>
      </c>
      <c r="G162" s="25">
        <f>-G161*0.02</f>
        <v>83.333333333333343</v>
      </c>
      <c r="H162" s="11">
        <v>24</v>
      </c>
      <c r="I162" s="24">
        <f>ROUND(テーブル10[[#This Row],[元金額]]*テーブル10[[#This Row],[為替レート]],0)</f>
        <v>2000</v>
      </c>
      <c r="J162" s="35"/>
      <c r="K162" s="32"/>
      <c r="L162" s="39" t="s">
        <v>591</v>
      </c>
      <c r="M162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{83.3333333333333元 * 24円/元, }</v>
      </c>
      <c r="N162" s="8" cm="1">
        <f t="array" ref="N162">-SUMPRODUCT((B$2:B$167=B162)*((C$2:C$167&lt;C162)+(C$2:C$167=C162)*(ROW(G$2:G$167)&lt;=ROW(G162)))*G$2:G$167)</f>
        <v>916.52778589042794</v>
      </c>
      <c r="O162" s="8" cm="1">
        <f t="array" ref="O162">-SUMPRODUCT((B$2:B$167=B162)*((C$2:C$167&lt;C162)+(C$2:C$167=C162)*(ROW(I$2:I$167)&lt;=ROW(I162)))*I$2:I$167)</f>
        <v>23833</v>
      </c>
      <c r="P162" s="30">
        <f>ROUND(テーブル10[[#This Row],[為替レート]]*テーブル10[[#This Row],[元残高]],0)</f>
        <v>21997</v>
      </c>
      <c r="Q162" s="42">
        <f>テーブル10[[#This Row],[円残高]]-テーブル10[[#This Row],[円残高_時価]]</f>
        <v>1836</v>
      </c>
    </row>
    <row r="163" spans="1:17" ht="18" customHeight="1" x14ac:dyDescent="0.25">
      <c r="A163" s="20" t="s">
        <v>107</v>
      </c>
      <c r="B163" s="20" t="s">
        <v>152</v>
      </c>
      <c r="C163" s="21">
        <v>46036</v>
      </c>
      <c r="D163" s="38" t="s">
        <v>4</v>
      </c>
      <c r="E163" s="20" t="s">
        <v>527</v>
      </c>
      <c r="F163" s="20" t="s">
        <v>1</v>
      </c>
      <c r="G163" s="25">
        <v>125</v>
      </c>
      <c r="H163" s="11">
        <v>24</v>
      </c>
      <c r="I163" s="24">
        <f>ROUND(テーブル10[[#This Row],[元金額]]*テーブル10[[#This Row],[為替レート]],0)</f>
        <v>3000</v>
      </c>
      <c r="J163" s="35"/>
      <c r="K163" s="32" t="s">
        <v>93</v>
      </c>
      <c r="L163" s="24" t="s">
        <v>668</v>
      </c>
      <c r="M163" s="20" t="str">
        <f>テーブル10[[#This Row],[メモ]]&amp;" {"&amp;テーブル10[[#This Row],[元金額]]&amp;"元 * "&amp;テーブル10[[#This Row],[為替レート]]&amp;"円/元, "&amp;テーブル10[[#This Row],[配賦ID]]&amp;"}"</f>
        <v>PUお食事エプロン 検品 5ｈ {125元 * 24円/元, PO-0036}</v>
      </c>
      <c r="N163" s="8" cm="1">
        <f t="array" ref="N163">-SUMPRODUCT((B$2:B$167=B163)*((C$2:C$167&lt;C163)+(C$2:C$167=C163)*(ROW(G$2:G$167)&lt;=ROW(G163)))*G$2:G$167)</f>
        <v>791.52778589042794</v>
      </c>
      <c r="O163" s="8" cm="1">
        <f t="array" ref="O163">-SUMPRODUCT((B$2:B$167=B163)*((C$2:C$167&lt;C163)+(C$2:C$167=C163)*(ROW(I$2:I$167)&lt;=ROW(I163)))*I$2:I$167)</f>
        <v>20833</v>
      </c>
      <c r="P163" s="30">
        <f>ROUND(テーブル10[[#This Row],[為替レート]]*テーブル10[[#This Row],[元残高]],0)</f>
        <v>18997</v>
      </c>
      <c r="Q163" s="42">
        <f>テーブル10[[#This Row],[円残高]]-テーブル10[[#This Row],[円残高_時価]]</f>
        <v>1836</v>
      </c>
    </row>
    <row r="164" spans="1:17" ht="18" customHeight="1" x14ac:dyDescent="0.25">
      <c r="A164" s="20" t="s">
        <v>107</v>
      </c>
      <c r="B164" s="20" t="s">
        <v>152</v>
      </c>
      <c r="C164" s="21">
        <v>46044</v>
      </c>
      <c r="D164" s="36" t="s">
        <v>29</v>
      </c>
      <c r="E164" s="20"/>
      <c r="F164" s="20" t="s">
        <v>1</v>
      </c>
      <c r="G164" s="25">
        <v>748</v>
      </c>
      <c r="H164" s="11">
        <v>24</v>
      </c>
      <c r="I164" s="24">
        <f>ROUND(テーブル10[[#This Row],[元金額]]*テーブル10[[#This Row],[為替レート]],0)</f>
        <v>17952</v>
      </c>
      <c r="J164" s="35"/>
      <c r="K164" s="32" t="s">
        <v>600</v>
      </c>
      <c r="L164" s="24" t="s">
        <v>595</v>
      </c>
      <c r="M164" s="20" t="str">
        <f>テーブル10[[#This Row],[メモ]]&amp;" {"&amp;テーブル10[[#This Row],[元金額]]&amp;"元 * "&amp;テーブル10[[#This Row],[為替レート]]&amp;"円/元, "&amp;テーブル10[[#This Row],[配賦ID]]&amp;"}"</f>
        <v>OCS　PO-0034+PO-0035 合計2箱　2025.12.5 {748元 * 24円/元, PO-0034}</v>
      </c>
      <c r="N164" s="8" cm="1">
        <f t="array" ref="N164">-SUMPRODUCT((B$2:B$167=B164)*((C$2:C$167&lt;C164)+(C$2:C$167=C164)*(ROW(G$2:G$167)&lt;=ROW(G164)))*G$2:G$167)</f>
        <v>43.527785890427936</v>
      </c>
      <c r="O164" s="8" cm="1">
        <f t="array" ref="O164">-SUMPRODUCT((B$2:B$167=B164)*((C$2:C$167&lt;C164)+(C$2:C$167=C164)*(ROW(I$2:I$167)&lt;=ROW(I164)))*I$2:I$167)</f>
        <v>2881</v>
      </c>
      <c r="P164" s="30">
        <f>ROUND(テーブル10[[#This Row],[為替レート]]*テーブル10[[#This Row],[元残高]],0)</f>
        <v>1045</v>
      </c>
      <c r="Q164" s="42">
        <f>テーブル10[[#This Row],[円残高]]-テーブル10[[#This Row],[円残高_時価]]</f>
        <v>1836</v>
      </c>
    </row>
    <row r="165" spans="1:17" ht="18" customHeight="1" x14ac:dyDescent="0.25">
      <c r="A165" s="20" t="s">
        <v>107</v>
      </c>
      <c r="B165" s="20" t="s">
        <v>152</v>
      </c>
      <c r="C165" s="21">
        <v>46051</v>
      </c>
      <c r="D165" s="38" t="s">
        <v>4</v>
      </c>
      <c r="E165" s="20" t="s">
        <v>527</v>
      </c>
      <c r="F165" s="20" t="s">
        <v>1</v>
      </c>
      <c r="G165" s="25">
        <v>375</v>
      </c>
      <c r="H165" s="11">
        <v>24</v>
      </c>
      <c r="I165" s="24">
        <f>ROUND(テーブル10[[#This Row],[元金額]]*テーブル10[[#This Row],[為替レート]],0)</f>
        <v>9000</v>
      </c>
      <c r="J165" s="35"/>
      <c r="K165" s="32" t="s">
        <v>598</v>
      </c>
      <c r="L165" s="43" t="s">
        <v>669</v>
      </c>
      <c r="M165" s="20" t="str">
        <f>テーブル10[[#This Row],[メモ]]&amp;" {"&amp;テーブル10[[#This Row],[元金額]]&amp;"元 * "&amp;テーブル10[[#This Row],[為替レート]]&amp;"円/元, "&amp;テーブル10[[#This Row],[配賦ID]]&amp;"}"</f>
        <v>マザーズリュック 検品15ｈ {375元 * 24円/元, PO-0038}</v>
      </c>
      <c r="N165" s="8" cm="1">
        <f t="array" ref="N165">-SUMPRODUCT((B$2:B$167=B165)*((C$2:C$167&lt;C165)+(C$2:C$167=C165)*(ROW(G$2:G$167)&lt;=ROW(G165)))*G$2:G$167)</f>
        <v>-331.47221410957206</v>
      </c>
      <c r="O165" s="8" cm="1">
        <f t="array" ref="O165">-SUMPRODUCT((B$2:B$167=B165)*((C$2:C$167&lt;C165)+(C$2:C$167=C165)*(ROW(I$2:I$167)&lt;=ROW(I165)))*I$2:I$167)</f>
        <v>-6119</v>
      </c>
      <c r="P165" s="30">
        <f>ROUND(テーブル10[[#This Row],[為替レート]]*テーブル10[[#This Row],[元残高]],0)</f>
        <v>-7955</v>
      </c>
      <c r="Q165" s="42">
        <f>テーブル10[[#This Row],[円残高]]-テーブル10[[#This Row],[円残高_時価]]</f>
        <v>1836</v>
      </c>
    </row>
    <row r="166" spans="1:17" ht="18" customHeight="1" x14ac:dyDescent="0.25">
      <c r="A166" s="20" t="s">
        <v>107</v>
      </c>
      <c r="B166" s="20" t="s">
        <v>152</v>
      </c>
      <c r="C166" s="21">
        <v>46056</v>
      </c>
      <c r="D166" s="36" t="s">
        <v>172</v>
      </c>
      <c r="E166" s="20"/>
      <c r="F166" s="20" t="s">
        <v>1</v>
      </c>
      <c r="G166" s="25">
        <f>-100000/23.72</f>
        <v>-4215.8516020236093</v>
      </c>
      <c r="H166" s="11">
        <v>23.72</v>
      </c>
      <c r="I166" s="24">
        <f>ROUND(テーブル10[[#This Row],[元金額]]*テーブル10[[#This Row],[為替レート]],0)</f>
        <v>-100000</v>
      </c>
      <c r="J166" s="35"/>
      <c r="K166" s="32"/>
      <c r="L166" s="18" t="s">
        <v>590</v>
      </c>
      <c r="M166" s="20" t="str">
        <f>テーブル10[[#This Row],[メモ]]&amp;" {"&amp;テーブル10[[#This Row],[元金額]]&amp;"元 * "&amp;テーブル10[[#This Row],[為替レート]]&amp;"円/元, "&amp;テーブル10[[#This Row],[配賦ID]]&amp;"}"</f>
        <v>代行会社入金 {-4215.85160202361元 * 23.72円/元, }</v>
      </c>
      <c r="N166" s="8" cm="1">
        <f t="array" ref="N166">-SUMPRODUCT((B$2:B$167=B166)*((C$2:C$167&lt;C166)+(C$2:C$167=C166)*(ROW(G$2:G$167)&lt;=ROW(G166)))*G$2:G$167)</f>
        <v>3884.3793879140371</v>
      </c>
      <c r="O166" s="8" cm="1">
        <f t="array" ref="O166">-SUMPRODUCT((B$2:B$167=B166)*((C$2:C$167&lt;C166)+(C$2:C$167=C166)*(ROW(I$2:I$167)&lt;=ROW(I166)))*I$2:I$167)</f>
        <v>93881</v>
      </c>
      <c r="P166" s="30">
        <f>ROUND(テーブル10[[#This Row],[為替レート]]*テーブル10[[#This Row],[元残高]],0)</f>
        <v>92137</v>
      </c>
      <c r="Q166" s="42">
        <f>テーブル10[[#This Row],[円残高]]-テーブル10[[#This Row],[円残高_時価]]</f>
        <v>1744</v>
      </c>
    </row>
    <row r="167" spans="1:17" ht="18" customHeight="1" x14ac:dyDescent="0.25">
      <c r="A167" s="20" t="s">
        <v>107</v>
      </c>
      <c r="B167" s="20" t="s">
        <v>152</v>
      </c>
      <c r="C167" s="21">
        <v>46056</v>
      </c>
      <c r="D167" s="38" t="s">
        <v>145</v>
      </c>
      <c r="E167" s="21"/>
      <c r="F167" s="20" t="s">
        <v>1</v>
      </c>
      <c r="G167" s="25">
        <f>-G166*0.02</f>
        <v>84.317032040472185</v>
      </c>
      <c r="H167" s="11">
        <v>23.72</v>
      </c>
      <c r="I167" s="24">
        <f>ROUND(テーブル10[[#This Row],[元金額]]*テーブル10[[#This Row],[為替レート]],0)</f>
        <v>2000</v>
      </c>
      <c r="J167" s="35"/>
      <c r="K167" s="32"/>
      <c r="L167" s="39" t="s">
        <v>591</v>
      </c>
      <c r="M167" s="20" t="str">
        <f>テーブル10[[#This Row],[メモ]]&amp;" {"&amp;テーブル10[[#This Row],[元金額]]&amp;"元 * "&amp;テーブル10[[#This Row],[為替レート]]&amp;"円/元, "&amp;テーブル10[[#This Row],[配賦ID]]&amp;"}"</f>
        <v>代行手数料2% {84.3170320404722元 * 23.72円/元, }</v>
      </c>
      <c r="N167" s="8" cm="1">
        <f t="array" ref="N167">-SUMPRODUCT((B$2:B$167=B167)*((C$2:C$167&lt;C167)+(C$2:C$167=C167)*(ROW(G$2:G$167)&lt;=ROW(G167)))*G$2:G$167)</f>
        <v>3800.0623558735651</v>
      </c>
      <c r="O167" s="8" cm="1">
        <f t="array" ref="O167">-SUMPRODUCT((B$2:B$167=B167)*((C$2:C$167&lt;C167)+(C$2:C$167=C167)*(ROW(I$2:I$167)&lt;=ROW(I167)))*I$2:I$167)</f>
        <v>91881</v>
      </c>
      <c r="P167" s="30">
        <f>ROUND(テーブル10[[#This Row],[為替レート]]*テーブル10[[#This Row],[元残高]],0)</f>
        <v>90137</v>
      </c>
      <c r="Q167" s="42">
        <f>テーブル10[[#This Row],[円残高]]-テーブル10[[#This Row],[円残高_時価]]</f>
        <v>1744</v>
      </c>
    </row>
  </sheetData>
  <phoneticPr fontId="18"/>
  <dataValidations count="4">
    <dataValidation type="list" allowBlank="1" showInputMessage="1" showErrorMessage="1" sqref="E2:E32 E165 E163 E34:E160" xr:uid="{0EDF1176-96EA-4918-9133-20A089E0EC8E}">
      <formula1>"商品代金,検品梱包,中国国内送料,国際送料,関税消費税等,その他,入出金"</formula1>
    </dataValidation>
    <dataValidation type="list" allowBlank="1" showInputMessage="1" showErrorMessage="1" sqref="F2:F167" xr:uid="{1CD712A0-FCA1-489A-AFBC-FD1B46449BF8}">
      <formula1>"課対仕入10%,対象外"</formula1>
    </dataValidation>
    <dataValidation type="list" allowBlank="1" showInputMessage="1" showErrorMessage="1" sqref="B2:B167" xr:uid="{6344F16A-CFE2-463E-AC4E-092AF3E8E009}">
      <formula1>"ESPRIME,YP,THE直行便"</formula1>
    </dataValidation>
    <dataValidation type="list" allowBlank="1" showInputMessage="1" showErrorMessage="1" sqref="J2:J167" xr:uid="{D4420F53-ADB6-4147-B6B3-763F52F3BB06}">
      <formula1>"alloc_po,alloc_shipment"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66A2160-4D14-4B02-923F-C4F9A464EF0A}">
          <x14:formula1>
            <xm:f>freee勘定科目!$A$2:$A$166</xm:f>
          </x14:formula1>
          <xm:sqref>E33 D2:D167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02032-2D14-4916-8189-E9EA18B3A9C9}">
  <sheetPr>
    <pageSetUpPr fitToPage="1"/>
  </sheetPr>
  <dimension ref="A1:M54"/>
  <sheetViews>
    <sheetView topLeftCell="A34" zoomScale="85" zoomScaleNormal="85" workbookViewId="0">
      <selection activeCell="M37" sqref="M37"/>
    </sheetView>
  </sheetViews>
  <sheetFormatPr defaultRowHeight="18" x14ac:dyDescent="0.55000000000000004"/>
  <cols>
    <col min="2" max="2" width="12" customWidth="1"/>
    <col min="3" max="3" width="12.1640625" customWidth="1"/>
    <col min="4" max="4" width="18.25" customWidth="1"/>
    <col min="5" max="5" width="7.4140625" customWidth="1"/>
    <col min="6" max="6" width="13.58203125" customWidth="1"/>
    <col min="7" max="8" width="11.75" customWidth="1"/>
    <col min="9" max="9" width="17.5" customWidth="1"/>
    <col min="10" max="10" width="11.75" customWidth="1"/>
    <col min="11" max="11" width="14.5" customWidth="1"/>
    <col min="12" max="12" width="16.25" customWidth="1"/>
    <col min="13" max="13" width="17.75" customWidth="1"/>
  </cols>
  <sheetData>
    <row r="1" spans="1:13" x14ac:dyDescent="0.55000000000000004">
      <c r="A1" t="s">
        <v>10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11</v>
      </c>
      <c r="H1" t="s">
        <v>12</v>
      </c>
      <c r="I1" t="s">
        <v>35</v>
      </c>
      <c r="J1" t="s">
        <v>13</v>
      </c>
      <c r="K1" t="s">
        <v>40</v>
      </c>
      <c r="L1" s="5" t="s">
        <v>41</v>
      </c>
      <c r="M1" t="s">
        <v>42</v>
      </c>
    </row>
    <row r="2" spans="1:13" x14ac:dyDescent="0.55000000000000004">
      <c r="A2">
        <v>1</v>
      </c>
      <c r="B2" s="1">
        <v>44735</v>
      </c>
      <c r="C2" t="s">
        <v>14</v>
      </c>
      <c r="F2" s="8">
        <f>-200000/20.29</f>
        <v>-9857.0724494825045</v>
      </c>
      <c r="G2" s="2">
        <f>IFERROR(G1-YP_預け金管理表[[#This Row],[出金額（元）]],-YP_預け金管理表[[#This Row],[出金額（元）]])</f>
        <v>9857.0724494825045</v>
      </c>
      <c r="H2" t="e" cm="1">
        <f t="array" ref="H2">SUMPRODUCT((#REF!&lt;=B2)*(#REF!&gt;=B2)*#REF!)</f>
        <v>#REF!</v>
      </c>
      <c r="I2" s="6" t="e">
        <f>YP_預け金管理表[[#This Row],[出金額（元）]]*YP_預け金管理表[[#This Row],[為替レート]]</f>
        <v>#REF!</v>
      </c>
      <c r="J2" s="2">
        <v>200000</v>
      </c>
      <c r="K2" s="9" t="e">
        <f>ROUND(YP_預け金管理表[[#This Row],[出金額（元）]]*YP_預け金管理表[[#This Row],[為替レート]],0)</f>
        <v>#REF!</v>
      </c>
      <c r="L2" s="10">
        <v>200000</v>
      </c>
      <c r="M2" t="e">
        <f>ROUND(YP_預け金管理表[[#This Row],[出金額（元）]]*YP_預け金管理表[[#This Row],[為替レート]],0)</f>
        <v>#REF!</v>
      </c>
    </row>
    <row r="3" spans="1:13" x14ac:dyDescent="0.55000000000000004">
      <c r="A3">
        <v>2</v>
      </c>
      <c r="B3" s="1">
        <v>44735</v>
      </c>
      <c r="C3" t="s">
        <v>43</v>
      </c>
      <c r="F3" s="8">
        <v>41</v>
      </c>
      <c r="G3" s="2">
        <f>IFERROR(G2-YP_預け金管理表[[#This Row],[出金額（元）]],-YP_預け金管理表[[#This Row],[出金額（元）]])</f>
        <v>9816.0724494825045</v>
      </c>
      <c r="H3" t="e" cm="1">
        <f t="array" ref="H3">SUMPRODUCT((#REF!&lt;=B3)*(#REF!&gt;=B3)*#REF!)</f>
        <v>#REF!</v>
      </c>
      <c r="I3" s="6" t="e">
        <f>YP_預け金管理表[[#This Row],[出金額（元）]]*YP_預け金管理表[[#This Row],[為替レート]]</f>
        <v>#REF!</v>
      </c>
      <c r="J3" s="2">
        <v>199168</v>
      </c>
      <c r="K3" s="9" t="e">
        <f>ROUND(YP_預け金管理表[[#This Row],[出金額（元）]]*YP_預け金管理表[[#This Row],[為替レート]],0)</f>
        <v>#REF!</v>
      </c>
      <c r="L3" s="9" t="e">
        <f>L2-YP_預け金管理表[[#This Row],[出金額（円）2]]</f>
        <v>#REF!</v>
      </c>
      <c r="M3" t="e">
        <f>ROUND(YP_預け金管理表[[#This Row],[出金額（元）]]*YP_預け金管理表[[#This Row],[為替レート]],0)</f>
        <v>#REF!</v>
      </c>
    </row>
    <row r="4" spans="1:13" x14ac:dyDescent="0.55000000000000004">
      <c r="A4">
        <v>3</v>
      </c>
      <c r="B4" s="1">
        <v>44735</v>
      </c>
      <c r="C4" t="s">
        <v>43</v>
      </c>
      <c r="F4" s="8">
        <v>86</v>
      </c>
      <c r="G4" s="2">
        <f>IFERROR(G3-YP_預け金管理表[[#This Row],[出金額（元）]],-YP_預け金管理表[[#This Row],[出金額（元）]])</f>
        <v>9730.0724494825045</v>
      </c>
      <c r="H4" t="e" cm="1">
        <f t="array" ref="H4">SUMPRODUCT((#REF!&lt;=B4)*(#REF!&gt;=B4)*#REF!)</f>
        <v>#REF!</v>
      </c>
      <c r="I4" s="6" t="e">
        <f>YP_預け金管理表[[#This Row],[出金額（元）]]*YP_預け金管理表[[#This Row],[為替レート]]</f>
        <v>#REF!</v>
      </c>
      <c r="J4" s="2">
        <v>197423</v>
      </c>
      <c r="K4" s="9" t="e">
        <f>ROUND(YP_預け金管理表[[#This Row],[出金額（元）]]*YP_預け金管理表[[#This Row],[為替レート]],0)</f>
        <v>#REF!</v>
      </c>
      <c r="L4" s="9" t="e">
        <f>L3-YP_預け金管理表[[#This Row],[出金額（円）2]]</f>
        <v>#REF!</v>
      </c>
      <c r="M4" t="e">
        <f>ROUND(YP_預け金管理表[[#This Row],[出金額（元）]]*YP_預け金管理表[[#This Row],[為替レート]],0)</f>
        <v>#REF!</v>
      </c>
    </row>
    <row r="5" spans="1:13" x14ac:dyDescent="0.55000000000000004">
      <c r="A5">
        <v>4</v>
      </c>
      <c r="B5" s="1">
        <v>44735</v>
      </c>
      <c r="C5" t="s">
        <v>43</v>
      </c>
      <c r="F5" s="8">
        <v>109</v>
      </c>
      <c r="G5" s="2">
        <f>IFERROR(G4-YP_預け金管理表[[#This Row],[出金額（元）]],-YP_預け金管理表[[#This Row],[出金額（元）]])</f>
        <v>9621.0724494825045</v>
      </c>
      <c r="H5" t="e" cm="1">
        <f t="array" ref="H5">SUMPRODUCT((#REF!&lt;=B5)*(#REF!&gt;=B5)*#REF!)</f>
        <v>#REF!</v>
      </c>
      <c r="I5" s="6" t="e">
        <f>YP_預け金管理表[[#This Row],[出金額（元）]]*YP_預け金管理表[[#This Row],[為替レート]]</f>
        <v>#REF!</v>
      </c>
      <c r="J5" s="2">
        <v>195212</v>
      </c>
      <c r="K5" s="9" t="e">
        <f>ROUND(YP_預け金管理表[[#This Row],[出金額（元）]]*YP_預け金管理表[[#This Row],[為替レート]],0)</f>
        <v>#REF!</v>
      </c>
      <c r="L5" s="9" t="e">
        <f>L4-YP_預け金管理表[[#This Row],[出金額（円）2]]</f>
        <v>#REF!</v>
      </c>
      <c r="M5" t="e">
        <f>ROUND(YP_預け金管理表[[#This Row],[出金額（元）]]*YP_預け金管理表[[#This Row],[為替レート]],0)</f>
        <v>#REF!</v>
      </c>
    </row>
    <row r="6" spans="1:13" x14ac:dyDescent="0.55000000000000004">
      <c r="A6">
        <v>5</v>
      </c>
      <c r="B6" s="1">
        <v>44735</v>
      </c>
      <c r="C6" t="s">
        <v>43</v>
      </c>
      <c r="F6" s="8">
        <v>67</v>
      </c>
      <c r="G6" s="2">
        <f>IFERROR(G5-YP_預け金管理表[[#This Row],[出金額（元）]],-YP_預け金管理表[[#This Row],[出金額（元）]])</f>
        <v>9554.0724494825045</v>
      </c>
      <c r="H6" t="e" cm="1">
        <f t="array" ref="H6">SUMPRODUCT((#REF!&lt;=B6)*(#REF!&gt;=B6)*#REF!)</f>
        <v>#REF!</v>
      </c>
      <c r="I6" s="6" t="e">
        <f>YP_預け金管理表[[#This Row],[出金額（元）]]*YP_預け金管理表[[#This Row],[為替レート]]</f>
        <v>#REF!</v>
      </c>
      <c r="J6" s="2">
        <v>193852</v>
      </c>
      <c r="K6" s="9" t="e">
        <f>ROUND(YP_預け金管理表[[#This Row],[出金額（元）]]*YP_預け金管理表[[#This Row],[為替レート]],0)</f>
        <v>#REF!</v>
      </c>
      <c r="L6" s="9" t="e">
        <f>L5-YP_預け金管理表[[#This Row],[出金額（円）2]]</f>
        <v>#REF!</v>
      </c>
      <c r="M6" t="e">
        <f>ROUND(YP_預け金管理表[[#This Row],[出金額（元）]]*YP_預け金管理表[[#This Row],[為替レート]],0)</f>
        <v>#REF!</v>
      </c>
    </row>
    <row r="7" spans="1:13" x14ac:dyDescent="0.55000000000000004">
      <c r="A7">
        <v>6</v>
      </c>
      <c r="B7" s="1">
        <v>44749</v>
      </c>
      <c r="C7" t="s">
        <v>43</v>
      </c>
      <c r="D7" t="s">
        <v>44</v>
      </c>
      <c r="F7" s="8">
        <v>875</v>
      </c>
      <c r="G7" s="2">
        <f>IFERROR(G6-YP_預け金管理表[[#This Row],[出金額（元）]],-YP_預け金管理表[[#This Row],[出金額（元）]])</f>
        <v>8679.0724494825045</v>
      </c>
      <c r="H7" t="e" cm="1">
        <f t="array" ref="H7">SUMPRODUCT((#REF!&lt;=B7)*(#REF!&gt;=B7)*#REF!)</f>
        <v>#REF!</v>
      </c>
      <c r="I7" s="6" t="e">
        <f>YP_預け金管理表[[#This Row],[出金額（元）]]*YP_預け金管理表[[#This Row],[為替レート]]</f>
        <v>#REF!</v>
      </c>
      <c r="J7" s="2">
        <v>175818</v>
      </c>
      <c r="K7" s="9" t="e">
        <f>ROUND(YP_預け金管理表[[#This Row],[出金額（元）]]*YP_預け金管理表[[#This Row],[為替レート]],0)</f>
        <v>#REF!</v>
      </c>
      <c r="L7" s="9" t="e">
        <f>L6-YP_預け金管理表[[#This Row],[出金額（円）2]]</f>
        <v>#REF!</v>
      </c>
      <c r="M7" t="e">
        <f>ROUND(YP_預け金管理表[[#This Row],[出金額（元）]]*YP_預け金管理表[[#This Row],[為替レート]],0)</f>
        <v>#REF!</v>
      </c>
    </row>
    <row r="8" spans="1:13" x14ac:dyDescent="0.55000000000000004">
      <c r="A8">
        <v>7</v>
      </c>
      <c r="B8" s="1">
        <v>44817</v>
      </c>
      <c r="C8" t="s">
        <v>43</v>
      </c>
      <c r="F8" s="8">
        <v>26</v>
      </c>
      <c r="G8" s="2">
        <f>IFERROR(G7-YP_預け金管理表[[#This Row],[出金額（元）]],-YP_預け金管理表[[#This Row],[出金額（元）]])</f>
        <v>8653.0724494825045</v>
      </c>
      <c r="H8" t="e" cm="1">
        <f t="array" ref="H8">SUMPRODUCT((#REF!&lt;=B8)*(#REF!&gt;=B8)*#REF!)</f>
        <v>#REF!</v>
      </c>
      <c r="I8" s="6" t="e">
        <f>YP_預け金管理表[[#This Row],[出金額（元）]]*YP_預け金管理表[[#This Row],[為替レート]]</f>
        <v>#REF!</v>
      </c>
      <c r="J8" s="2">
        <v>175280</v>
      </c>
      <c r="K8" s="9" t="e">
        <f>ROUND(YP_預け金管理表[[#This Row],[出金額（元）]]*YP_預け金管理表[[#This Row],[為替レート]],0)</f>
        <v>#REF!</v>
      </c>
      <c r="L8" s="9" t="e">
        <f>L7-YP_預け金管理表[[#This Row],[出金額（円）2]]</f>
        <v>#REF!</v>
      </c>
      <c r="M8" t="e">
        <f>ROUND(YP_預け金管理表[[#This Row],[出金額（元）]]*YP_預け金管理表[[#This Row],[為替レート]],0)</f>
        <v>#REF!</v>
      </c>
    </row>
    <row r="9" spans="1:13" x14ac:dyDescent="0.55000000000000004">
      <c r="A9">
        <v>8</v>
      </c>
      <c r="B9" s="1">
        <v>44817</v>
      </c>
      <c r="C9" t="s">
        <v>43</v>
      </c>
      <c r="F9" s="8">
        <v>11</v>
      </c>
      <c r="G9" s="2">
        <f>IFERROR(G8-YP_預け金管理表[[#This Row],[出金額（元）]],-YP_預け金管理表[[#This Row],[出金額（元）]])</f>
        <v>8642.0724494825045</v>
      </c>
      <c r="H9" t="e" cm="1">
        <f t="array" ref="H9">SUMPRODUCT((#REF!&lt;=B9)*(#REF!&gt;=B9)*#REF!)</f>
        <v>#REF!</v>
      </c>
      <c r="I9" s="6" t="e">
        <f>YP_預け金管理表[[#This Row],[出金額（元）]]*YP_預け金管理表[[#This Row],[為替レート]]</f>
        <v>#REF!</v>
      </c>
      <c r="J9" s="2">
        <v>175052</v>
      </c>
      <c r="K9" s="9" t="e">
        <f>ROUND(YP_預け金管理表[[#This Row],[出金額（元）]]*YP_預け金管理表[[#This Row],[為替レート]],0)</f>
        <v>#REF!</v>
      </c>
      <c r="L9" s="9" t="e">
        <f>L8-YP_預け金管理表[[#This Row],[出金額（円）2]]</f>
        <v>#REF!</v>
      </c>
      <c r="M9" t="e">
        <f>ROUND(YP_預け金管理表[[#This Row],[出金額（元）]]*YP_預け金管理表[[#This Row],[為替レート]],0)</f>
        <v>#REF!</v>
      </c>
    </row>
    <row r="10" spans="1:13" x14ac:dyDescent="0.55000000000000004">
      <c r="A10">
        <v>9</v>
      </c>
      <c r="B10" s="1">
        <v>44817</v>
      </c>
      <c r="C10" t="s">
        <v>43</v>
      </c>
      <c r="F10" s="8">
        <v>9</v>
      </c>
      <c r="G10" s="2">
        <f>IFERROR(G9-YP_預け金管理表[[#This Row],[出金額（元）]],-YP_預け金管理表[[#This Row],[出金額（元）]])</f>
        <v>8633.0724494825045</v>
      </c>
      <c r="H10" t="e" cm="1">
        <f t="array" ref="H10">SUMPRODUCT((#REF!&lt;=B10)*(#REF!&gt;=B10)*#REF!)</f>
        <v>#REF!</v>
      </c>
      <c r="I10" s="6" t="e">
        <f>YP_預け金管理表[[#This Row],[出金額（元）]]*YP_預け金管理表[[#This Row],[為替レート]]</f>
        <v>#REF!</v>
      </c>
      <c r="J10" s="2">
        <v>174866</v>
      </c>
      <c r="K10" s="9" t="e">
        <f>ROUND(YP_預け金管理表[[#This Row],[出金額（元）]]*YP_預け金管理表[[#This Row],[為替レート]],0)</f>
        <v>#REF!</v>
      </c>
      <c r="L10" s="9" t="e">
        <f>L9-YP_預け金管理表[[#This Row],[出金額（円）2]]</f>
        <v>#REF!</v>
      </c>
      <c r="M10" t="e">
        <f>ROUND(YP_預け金管理表[[#This Row],[出金額（元）]]*YP_預け金管理表[[#This Row],[為替レート]],0)</f>
        <v>#REF!</v>
      </c>
    </row>
    <row r="11" spans="1:13" x14ac:dyDescent="0.55000000000000004">
      <c r="A11">
        <v>10</v>
      </c>
      <c r="B11" s="1">
        <v>44817</v>
      </c>
      <c r="C11" t="s">
        <v>43</v>
      </c>
      <c r="F11" s="8">
        <v>25</v>
      </c>
      <c r="G11" s="2">
        <f>IFERROR(G10-YP_預け金管理表[[#This Row],[出金額（元）]],-YP_預け金管理表[[#This Row],[出金額（元）]])</f>
        <v>8608.0724494825045</v>
      </c>
      <c r="H11" t="e" cm="1">
        <f t="array" ref="H11">SUMPRODUCT((#REF!&lt;=B11)*(#REF!&gt;=B11)*#REF!)</f>
        <v>#REF!</v>
      </c>
      <c r="I11" s="6" t="e">
        <f>YP_預け金管理表[[#This Row],[出金額（元）]]*YP_預け金管理表[[#This Row],[為替レート]]</f>
        <v>#REF!</v>
      </c>
      <c r="J11" s="2">
        <v>174349</v>
      </c>
      <c r="K11" s="9" t="e">
        <f>ROUND(YP_預け金管理表[[#This Row],[出金額（元）]]*YP_預け金管理表[[#This Row],[為替レート]],0)</f>
        <v>#REF!</v>
      </c>
      <c r="L11" s="9" t="e">
        <f>L10-YP_預け金管理表[[#This Row],[出金額（円）2]]</f>
        <v>#REF!</v>
      </c>
      <c r="M11" t="e">
        <f>ROUND(YP_預け金管理表[[#This Row],[出金額（元）]]*YP_預け金管理表[[#This Row],[為替レート]],0)</f>
        <v>#REF!</v>
      </c>
    </row>
    <row r="12" spans="1:13" x14ac:dyDescent="0.55000000000000004">
      <c r="A12">
        <v>11</v>
      </c>
      <c r="B12" s="1">
        <v>44817</v>
      </c>
      <c r="C12" t="s">
        <v>43</v>
      </c>
      <c r="F12" s="8">
        <v>16</v>
      </c>
      <c r="G12" s="2">
        <f>IFERROR(G11-YP_預け金管理表[[#This Row],[出金額（元）]],-YP_預け金管理表[[#This Row],[出金額（元）]])</f>
        <v>8592.0724494825045</v>
      </c>
      <c r="H12" t="e" cm="1">
        <f t="array" ref="H12">SUMPRODUCT((#REF!&lt;=B12)*(#REF!&gt;=B12)*#REF!)</f>
        <v>#REF!</v>
      </c>
      <c r="I12" s="6" t="e">
        <f>YP_預け金管理表[[#This Row],[出金額（元）]]*YP_預け金管理表[[#This Row],[為替レート]]</f>
        <v>#REF!</v>
      </c>
      <c r="J12" s="2">
        <v>174017</v>
      </c>
      <c r="K12" s="9" t="e">
        <f>ROUND(YP_預け金管理表[[#This Row],[出金額（元）]]*YP_預け金管理表[[#This Row],[為替レート]],0)</f>
        <v>#REF!</v>
      </c>
      <c r="L12" s="9" t="e">
        <f>L11-YP_預け金管理表[[#This Row],[出金額（円）2]]</f>
        <v>#REF!</v>
      </c>
      <c r="M12" t="e">
        <f>ROUND(YP_預け金管理表[[#This Row],[出金額（元）]]*YP_預け金管理表[[#This Row],[為替レート]],0)</f>
        <v>#REF!</v>
      </c>
    </row>
    <row r="13" spans="1:13" x14ac:dyDescent="0.55000000000000004">
      <c r="A13">
        <v>12</v>
      </c>
      <c r="B13" s="1">
        <v>44817</v>
      </c>
      <c r="C13" t="s">
        <v>43</v>
      </c>
      <c r="F13" s="8">
        <v>15</v>
      </c>
      <c r="G13" s="2">
        <f>IFERROR(G12-YP_預け金管理表[[#This Row],[出金額（元）]],-YP_預け金管理表[[#This Row],[出金額（元）]])</f>
        <v>8577.0724494825045</v>
      </c>
      <c r="H13" t="e" cm="1">
        <f t="array" ref="H13">SUMPRODUCT((#REF!&lt;=B13)*(#REF!&gt;=B13)*#REF!)</f>
        <v>#REF!</v>
      </c>
      <c r="I13" s="6" t="e">
        <f>YP_預け金管理表[[#This Row],[出金額（元）]]*YP_預け金管理表[[#This Row],[為替レート]]</f>
        <v>#REF!</v>
      </c>
      <c r="J13" s="2">
        <v>173707</v>
      </c>
      <c r="K13" s="9" t="e">
        <f>ROUND(YP_預け金管理表[[#This Row],[出金額（元）]]*YP_預け金管理表[[#This Row],[為替レート]],0)</f>
        <v>#REF!</v>
      </c>
      <c r="L13" s="9" t="e">
        <f>L12-YP_預け金管理表[[#This Row],[出金額（円）2]]</f>
        <v>#REF!</v>
      </c>
      <c r="M13" t="e">
        <f>ROUND(YP_預け金管理表[[#This Row],[出金額（元）]]*YP_預け金管理表[[#This Row],[為替レート]],0)</f>
        <v>#REF!</v>
      </c>
    </row>
    <row r="14" spans="1:13" x14ac:dyDescent="0.55000000000000004">
      <c r="A14">
        <v>13</v>
      </c>
      <c r="B14" s="1">
        <v>44817</v>
      </c>
      <c r="C14" t="s">
        <v>43</v>
      </c>
      <c r="F14" s="8">
        <v>16</v>
      </c>
      <c r="G14" s="2">
        <f>IFERROR(G13-YP_預け金管理表[[#This Row],[出金額（元）]],-YP_預け金管理表[[#This Row],[出金額（元）]])</f>
        <v>8561.0724494825045</v>
      </c>
      <c r="H14" t="e" cm="1">
        <f t="array" ref="H14">SUMPRODUCT((#REF!&lt;=B14)*(#REF!&gt;=B14)*#REF!)</f>
        <v>#REF!</v>
      </c>
      <c r="I14" s="6" t="e">
        <f>YP_預け金管理表[[#This Row],[出金額（元）]]*YP_預け金管理表[[#This Row],[為替レート]]</f>
        <v>#REF!</v>
      </c>
      <c r="J14" s="2">
        <v>173376</v>
      </c>
      <c r="K14" s="9" t="e">
        <f>ROUND(YP_預け金管理表[[#This Row],[出金額（元）]]*YP_預け金管理表[[#This Row],[為替レート]],0)</f>
        <v>#REF!</v>
      </c>
      <c r="L14" s="9" t="e">
        <f>L13-YP_預け金管理表[[#This Row],[出金額（円）2]]</f>
        <v>#REF!</v>
      </c>
      <c r="M14" t="e">
        <f>ROUND(YP_預け金管理表[[#This Row],[出金額（元）]]*YP_預け金管理表[[#This Row],[為替レート]],0)</f>
        <v>#REF!</v>
      </c>
    </row>
    <row r="15" spans="1:13" x14ac:dyDescent="0.55000000000000004">
      <c r="A15">
        <v>14</v>
      </c>
      <c r="B15" s="1">
        <v>44818</v>
      </c>
      <c r="C15" t="s">
        <v>43</v>
      </c>
      <c r="F15" s="8">
        <v>23</v>
      </c>
      <c r="G15" s="2">
        <f>IFERROR(G14-YP_預け金管理表[[#This Row],[出金額（元）]],-YP_預け金管理表[[#This Row],[出金額（元）]])</f>
        <v>8538.0724494825045</v>
      </c>
      <c r="H15" t="e" cm="1">
        <f t="array" ref="H15">SUMPRODUCT((#REF!&lt;=B15)*(#REF!&gt;=B15)*#REF!)</f>
        <v>#REF!</v>
      </c>
      <c r="I15" s="6" t="e">
        <f>YP_預け金管理表[[#This Row],[出金額（元）]]*YP_預け金管理表[[#This Row],[為替レート]]</f>
        <v>#REF!</v>
      </c>
      <c r="J15" s="2">
        <v>172900</v>
      </c>
      <c r="K15" s="9" t="e">
        <f>ROUND(YP_預け金管理表[[#This Row],[出金額（元）]]*YP_預け金管理表[[#This Row],[為替レート]],0)</f>
        <v>#REF!</v>
      </c>
      <c r="L15" s="9" t="e">
        <f>L14-YP_預け金管理表[[#This Row],[出金額（円）2]]</f>
        <v>#REF!</v>
      </c>
      <c r="M15" t="e">
        <f>ROUND(YP_預け金管理表[[#This Row],[出金額（元）]]*YP_預け金管理表[[#This Row],[為替レート]],0)</f>
        <v>#REF!</v>
      </c>
    </row>
    <row r="16" spans="1:13" x14ac:dyDescent="0.55000000000000004">
      <c r="A16">
        <v>15</v>
      </c>
      <c r="B16" s="1">
        <v>44818</v>
      </c>
      <c r="C16" t="s">
        <v>43</v>
      </c>
      <c r="F16" s="8">
        <v>40</v>
      </c>
      <c r="G16" s="2">
        <f>IFERROR(G15-YP_預け金管理表[[#This Row],[出金額（元）]],-YP_預け金管理表[[#This Row],[出金額（元）]])</f>
        <v>8498.0724494825045</v>
      </c>
      <c r="H16" t="e" cm="1">
        <f t="array" ref="H16">SUMPRODUCT((#REF!&lt;=B16)*(#REF!&gt;=B16)*#REF!)</f>
        <v>#REF!</v>
      </c>
      <c r="I16" s="6" t="e">
        <f>YP_預け金管理表[[#This Row],[出金額（元）]]*YP_預け金管理表[[#This Row],[為替レート]]</f>
        <v>#REF!</v>
      </c>
      <c r="J16" s="2">
        <v>172072</v>
      </c>
      <c r="K16" s="9" t="e">
        <f>ROUND(YP_預け金管理表[[#This Row],[出金額（元）]]*YP_預け金管理表[[#This Row],[為替レート]],0)</f>
        <v>#REF!</v>
      </c>
      <c r="L16" s="9" t="e">
        <f>L15-YP_預け金管理表[[#This Row],[出金額（円）2]]</f>
        <v>#REF!</v>
      </c>
      <c r="M16" t="e">
        <f>ROUND(YP_預け金管理表[[#This Row],[出金額（元）]]*YP_預け金管理表[[#This Row],[為替レート]],0)</f>
        <v>#REF!</v>
      </c>
    </row>
    <row r="17" spans="1:13" x14ac:dyDescent="0.55000000000000004">
      <c r="A17">
        <v>16</v>
      </c>
      <c r="B17" s="1">
        <v>44832</v>
      </c>
      <c r="C17" t="s">
        <v>43</v>
      </c>
      <c r="D17" t="s">
        <v>45</v>
      </c>
      <c r="F17" s="8">
        <v>515</v>
      </c>
      <c r="G17" s="2">
        <f>IFERROR(G16-YP_預け金管理表[[#This Row],[出金額（元）]],-YP_預け金管理表[[#This Row],[出金額（元）]])</f>
        <v>7983.0724494825045</v>
      </c>
      <c r="H17" t="e" cm="1">
        <f t="array" ref="H17">SUMPRODUCT((#REF!&lt;=B17)*(#REF!&gt;=B17)*#REF!)</f>
        <v>#REF!</v>
      </c>
      <c r="I17" s="6" t="e">
        <f>YP_預け金管理表[[#This Row],[出金額（元）]]*YP_預け金管理表[[#This Row],[為替レート]]</f>
        <v>#REF!</v>
      </c>
      <c r="J17" s="2">
        <v>161411</v>
      </c>
      <c r="K17" s="9" t="e">
        <f>ROUND(YP_預け金管理表[[#This Row],[出金額（元）]]*YP_預け金管理表[[#This Row],[為替レート]],0)</f>
        <v>#REF!</v>
      </c>
      <c r="L17" s="9" t="e">
        <f>L16-YP_預け金管理表[[#This Row],[出金額（円）2]]</f>
        <v>#REF!</v>
      </c>
      <c r="M17" t="e">
        <f>ROUND(YP_預け金管理表[[#This Row],[出金額（元）]]*YP_預け金管理表[[#This Row],[為替レート]],0)</f>
        <v>#REF!</v>
      </c>
    </row>
    <row r="18" spans="1:13" x14ac:dyDescent="0.55000000000000004">
      <c r="A18">
        <v>17</v>
      </c>
      <c r="B18" s="1">
        <v>44834</v>
      </c>
      <c r="C18" t="s">
        <v>43</v>
      </c>
      <c r="F18" s="8">
        <v>37</v>
      </c>
      <c r="G18" s="2">
        <f>IFERROR(G17-YP_預け金管理表[[#This Row],[出金額（元）]],-YP_預け金管理表[[#This Row],[出金額（元）]])</f>
        <v>7946.0724494825045</v>
      </c>
      <c r="H18" t="e" cm="1">
        <f t="array" ref="H18">SUMPRODUCT((#REF!&lt;=B18)*(#REF!&gt;=B18)*#REF!)</f>
        <v>#REF!</v>
      </c>
      <c r="I18" s="6" t="e">
        <f>YP_預け金管理表[[#This Row],[出金額（元）]]*YP_預け金管理表[[#This Row],[為替レート]]</f>
        <v>#REF!</v>
      </c>
      <c r="J18" s="2">
        <v>160645</v>
      </c>
      <c r="K18" s="9" t="e">
        <f>ROUND(YP_預け金管理表[[#This Row],[出金額（元）]]*YP_預け金管理表[[#This Row],[為替レート]],0)</f>
        <v>#REF!</v>
      </c>
      <c r="L18" s="9" t="e">
        <f>L17-YP_預け金管理表[[#This Row],[出金額（円）2]]</f>
        <v>#REF!</v>
      </c>
      <c r="M18" t="e">
        <f>ROUND(YP_預け金管理表[[#This Row],[出金額（元）]]*YP_預け金管理表[[#This Row],[為替レート]],0)</f>
        <v>#REF!</v>
      </c>
    </row>
    <row r="19" spans="1:13" x14ac:dyDescent="0.55000000000000004">
      <c r="A19">
        <v>18</v>
      </c>
      <c r="B19" s="1">
        <v>44834</v>
      </c>
      <c r="C19" t="s">
        <v>43</v>
      </c>
      <c r="F19" s="8">
        <v>72</v>
      </c>
      <c r="G19" s="2">
        <f>IFERROR(G18-YP_預け金管理表[[#This Row],[出金額（元）]],-YP_預け金管理表[[#This Row],[出金額（元）]])</f>
        <v>7874.0724494825045</v>
      </c>
      <c r="H19" t="e" cm="1">
        <f t="array" ref="H19">SUMPRODUCT((#REF!&lt;=B19)*(#REF!&gt;=B19)*#REF!)</f>
        <v>#REF!</v>
      </c>
      <c r="I19" s="6" t="e">
        <f>YP_預け金管理表[[#This Row],[出金額（元）]]*YP_預け金管理表[[#This Row],[為替レート]]</f>
        <v>#REF!</v>
      </c>
      <c r="J19" s="2">
        <v>159155</v>
      </c>
      <c r="K19" s="9" t="e">
        <f>ROUND(YP_預け金管理表[[#This Row],[出金額（元）]]*YP_預け金管理表[[#This Row],[為替レート]],0)</f>
        <v>#REF!</v>
      </c>
      <c r="L19" s="9" t="e">
        <f>L18-YP_預け金管理表[[#This Row],[出金額（円）2]]</f>
        <v>#REF!</v>
      </c>
      <c r="M19" t="e">
        <f>ROUND(YP_預け金管理表[[#This Row],[出金額（元）]]*YP_預け金管理表[[#This Row],[為替レート]],0)</f>
        <v>#REF!</v>
      </c>
    </row>
    <row r="20" spans="1:13" x14ac:dyDescent="0.55000000000000004">
      <c r="A20">
        <v>19</v>
      </c>
      <c r="B20" s="1">
        <v>44834</v>
      </c>
      <c r="C20" t="s">
        <v>43</v>
      </c>
      <c r="F20" s="8">
        <v>25</v>
      </c>
      <c r="G20" s="2">
        <f>IFERROR(G19-YP_預け金管理表[[#This Row],[出金額（元）]],-YP_預け金管理表[[#This Row],[出金額（元）]])</f>
        <v>7849.0724494825045</v>
      </c>
      <c r="H20" t="e" cm="1">
        <f t="array" ref="H20">SUMPRODUCT((#REF!&lt;=B20)*(#REF!&gt;=B20)*#REF!)</f>
        <v>#REF!</v>
      </c>
      <c r="I20" s="6" t="e">
        <f>YP_預け金管理表[[#This Row],[出金額（元）]]*YP_預け金管理表[[#This Row],[為替レート]]</f>
        <v>#REF!</v>
      </c>
      <c r="J20" s="2">
        <v>158637</v>
      </c>
      <c r="K20" s="9" t="e">
        <f>ROUND(YP_預け金管理表[[#This Row],[出金額（元）]]*YP_預け金管理表[[#This Row],[為替レート]],0)</f>
        <v>#REF!</v>
      </c>
      <c r="L20" s="9" t="e">
        <f>L19-YP_預け金管理表[[#This Row],[出金額（円）2]]</f>
        <v>#REF!</v>
      </c>
      <c r="M20" t="e">
        <f>ROUND(YP_預け金管理表[[#This Row],[出金額（元）]]*YP_預け金管理表[[#This Row],[為替レート]],0)</f>
        <v>#REF!</v>
      </c>
    </row>
    <row r="21" spans="1:13" x14ac:dyDescent="0.55000000000000004">
      <c r="A21">
        <v>20</v>
      </c>
      <c r="B21" s="1">
        <v>44834</v>
      </c>
      <c r="C21" t="s">
        <v>43</v>
      </c>
      <c r="F21" s="8">
        <v>52</v>
      </c>
      <c r="G21" s="2">
        <f>IFERROR(G20-YP_預け金管理表[[#This Row],[出金額（元）]],-YP_預け金管理表[[#This Row],[出金額（元）]])</f>
        <v>7797.0724494825045</v>
      </c>
      <c r="H21" t="e" cm="1">
        <f t="array" ref="H21">SUMPRODUCT((#REF!&lt;=B21)*(#REF!&gt;=B21)*#REF!)</f>
        <v>#REF!</v>
      </c>
      <c r="I21" s="6" t="e">
        <f>YP_預け金管理表[[#This Row],[出金額（元）]]*YP_預け金管理表[[#This Row],[為替レート]]</f>
        <v>#REF!</v>
      </c>
      <c r="J21" s="2">
        <v>157561</v>
      </c>
      <c r="K21" s="9" t="e">
        <f>ROUND(YP_預け金管理表[[#This Row],[出金額（元）]]*YP_預け金管理表[[#This Row],[為替レート]],0)</f>
        <v>#REF!</v>
      </c>
      <c r="L21" s="9" t="e">
        <f>L20-YP_預け金管理表[[#This Row],[出金額（円）2]]</f>
        <v>#REF!</v>
      </c>
      <c r="M21" t="e">
        <f>ROUND(YP_預け金管理表[[#This Row],[出金額（元）]]*YP_預け金管理表[[#This Row],[為替レート]],0)</f>
        <v>#REF!</v>
      </c>
    </row>
    <row r="22" spans="1:13" x14ac:dyDescent="0.55000000000000004">
      <c r="A22">
        <v>21</v>
      </c>
      <c r="B22" s="1">
        <v>44842</v>
      </c>
      <c r="C22" t="s">
        <v>43</v>
      </c>
      <c r="D22" t="s">
        <v>46</v>
      </c>
      <c r="F22" s="8">
        <v>-14</v>
      </c>
      <c r="G22" s="2">
        <f>IFERROR(G21-YP_預け金管理表[[#This Row],[出金額（元）]],-YP_預け金管理表[[#This Row],[出金額（元）]])</f>
        <v>7811.0724494825045</v>
      </c>
      <c r="H22" t="e" cm="1">
        <f t="array" ref="H22">SUMPRODUCT((#REF!&lt;=B22)*(#REF!&gt;=B22)*#REF!)</f>
        <v>#REF!</v>
      </c>
      <c r="I22" s="6" t="e">
        <f>YP_預け金管理表[[#This Row],[出金額（元）]]*YP_預け金管理表[[#This Row],[為替レート]]</f>
        <v>#REF!</v>
      </c>
      <c r="J22" s="2">
        <v>157852</v>
      </c>
      <c r="K22" s="9" t="e">
        <f>ROUND(YP_預け金管理表[[#This Row],[出金額（元）]]*YP_預け金管理表[[#This Row],[為替レート]],0)</f>
        <v>#REF!</v>
      </c>
      <c r="L22" s="9" t="e">
        <f>L21-YP_預け金管理表[[#This Row],[出金額（円）2]]</f>
        <v>#REF!</v>
      </c>
      <c r="M22" t="e">
        <f>ROUND(YP_預け金管理表[[#This Row],[出金額（元）]]*YP_預け金管理表[[#This Row],[為替レート]],0)</f>
        <v>#REF!</v>
      </c>
    </row>
    <row r="23" spans="1:13" x14ac:dyDescent="0.55000000000000004">
      <c r="A23">
        <v>22</v>
      </c>
      <c r="B23" s="1">
        <v>44845</v>
      </c>
      <c r="C23" t="s">
        <v>43</v>
      </c>
      <c r="F23" s="8">
        <v>182</v>
      </c>
      <c r="G23" s="2">
        <f>IFERROR(G22-YP_預け金管理表[[#This Row],[出金額（元）]],-YP_預け金管理表[[#This Row],[出金額（元）]])</f>
        <v>7629.0724494825045</v>
      </c>
      <c r="H23" t="e" cm="1">
        <f t="array" ref="H23">SUMPRODUCT((#REF!&lt;=B23)*(#REF!&gt;=B23)*#REF!)</f>
        <v>#REF!</v>
      </c>
      <c r="I23" s="6" t="e">
        <f>YP_預け金管理表[[#This Row],[出金額（元）]]*YP_預け金管理表[[#This Row],[為替レート]]</f>
        <v>#REF!</v>
      </c>
      <c r="J23" s="2">
        <v>154073</v>
      </c>
      <c r="K23" s="9" t="e">
        <f>ROUND(YP_預け金管理表[[#This Row],[出金額（元）]]*YP_預け金管理表[[#This Row],[為替レート]],0)</f>
        <v>#REF!</v>
      </c>
      <c r="L23" s="9" t="e">
        <f>L22-YP_預け金管理表[[#This Row],[出金額（円）2]]</f>
        <v>#REF!</v>
      </c>
      <c r="M23" t="e">
        <f>ROUND(YP_預け金管理表[[#This Row],[出金額（元）]]*YP_預け金管理表[[#This Row],[為替レート]],0)</f>
        <v>#REF!</v>
      </c>
    </row>
    <row r="24" spans="1:13" x14ac:dyDescent="0.55000000000000004">
      <c r="A24">
        <v>23</v>
      </c>
      <c r="B24" s="1">
        <v>44846</v>
      </c>
      <c r="C24" t="s">
        <v>43</v>
      </c>
      <c r="D24" t="s">
        <v>47</v>
      </c>
      <c r="F24" s="8">
        <v>6</v>
      </c>
      <c r="G24" s="2">
        <f>IFERROR(G23-YP_預け金管理表[[#This Row],[出金額（元）]],-YP_預け金管理表[[#This Row],[出金額（元）]])</f>
        <v>7623.0724494825045</v>
      </c>
      <c r="H24" t="e" cm="1">
        <f t="array" ref="H24">SUMPRODUCT((#REF!&lt;=B24)*(#REF!&gt;=B24)*#REF!)</f>
        <v>#REF!</v>
      </c>
      <c r="I24" s="6" t="e">
        <f>YP_預け金管理表[[#This Row],[出金額（元）]]*YP_預け金管理表[[#This Row],[為替レート]]</f>
        <v>#REF!</v>
      </c>
      <c r="J24" s="2">
        <v>153949</v>
      </c>
      <c r="K24" s="9" t="e">
        <f>ROUND(YP_預け金管理表[[#This Row],[出金額（元）]]*YP_預け金管理表[[#This Row],[為替レート]],0)</f>
        <v>#REF!</v>
      </c>
      <c r="L24" s="9" t="e">
        <f>L23-YP_預け金管理表[[#This Row],[出金額（円）2]]</f>
        <v>#REF!</v>
      </c>
      <c r="M24" t="e">
        <f>ROUND(YP_預け金管理表[[#This Row],[出金額（元）]]*YP_預け金管理表[[#This Row],[為替レート]],0)</f>
        <v>#REF!</v>
      </c>
    </row>
    <row r="25" spans="1:13" x14ac:dyDescent="0.55000000000000004">
      <c r="A25">
        <v>24</v>
      </c>
      <c r="B25" s="1">
        <v>44860</v>
      </c>
      <c r="C25" t="s">
        <v>43</v>
      </c>
      <c r="D25" t="s">
        <v>44</v>
      </c>
      <c r="F25" s="8">
        <v>875</v>
      </c>
      <c r="G25" s="2">
        <f>IFERROR(G24-YP_預け金管理表[[#This Row],[出金額（元）]],-YP_預け金管理表[[#This Row],[出金額（元）]])</f>
        <v>6748.0724494825045</v>
      </c>
      <c r="H25" t="e" cm="1">
        <f t="array" ref="H25">SUMPRODUCT((#REF!&lt;=B25)*(#REF!&gt;=B25)*#REF!)</f>
        <v>#REF!</v>
      </c>
      <c r="I25" s="6" t="e">
        <f>YP_預け金管理表[[#This Row],[出金額（元）]]*YP_預け金管理表[[#This Row],[為替レート]]</f>
        <v>#REF!</v>
      </c>
      <c r="J25" s="2">
        <v>135784</v>
      </c>
      <c r="K25" s="9" t="e">
        <f>ROUND(YP_預け金管理表[[#This Row],[出金額（元）]]*YP_預け金管理表[[#This Row],[為替レート]],0)</f>
        <v>#REF!</v>
      </c>
      <c r="L25" s="9" t="e">
        <f>L24-YP_預け金管理表[[#This Row],[出金額（円）2]]</f>
        <v>#REF!</v>
      </c>
      <c r="M25" t="e">
        <f>ROUND(YP_預け金管理表[[#This Row],[出金額（元）]]*YP_預け金管理表[[#This Row],[為替レート]],0)</f>
        <v>#REF!</v>
      </c>
    </row>
    <row r="26" spans="1:13" x14ac:dyDescent="0.55000000000000004">
      <c r="A26">
        <v>25</v>
      </c>
      <c r="B26" s="1">
        <v>44860</v>
      </c>
      <c r="C26" t="s">
        <v>43</v>
      </c>
      <c r="F26" s="8">
        <v>257</v>
      </c>
      <c r="G26" s="2">
        <f>IFERROR(G25-YP_預け金管理表[[#This Row],[出金額（元）]],-YP_預け金管理表[[#This Row],[出金額（元）]])</f>
        <v>6491.0724494825045</v>
      </c>
      <c r="H26" t="e" cm="1">
        <f t="array" ref="H26">SUMPRODUCT((#REF!&lt;=B26)*(#REF!&gt;=B26)*#REF!)</f>
        <v>#REF!</v>
      </c>
      <c r="I26" s="6" t="e">
        <f>YP_預け金管理表[[#This Row],[出金額（元）]]*YP_預け金管理表[[#This Row],[為替レート]]</f>
        <v>#REF!</v>
      </c>
      <c r="J26" s="2">
        <v>130448</v>
      </c>
      <c r="K26" s="9" t="e">
        <f>ROUND(YP_預け金管理表[[#This Row],[出金額（元）]]*YP_預け金管理表[[#This Row],[為替レート]],0)</f>
        <v>#REF!</v>
      </c>
      <c r="L26" s="9" t="e">
        <f>L25-YP_預け金管理表[[#This Row],[出金額（円）2]]</f>
        <v>#REF!</v>
      </c>
      <c r="M26" t="e">
        <f>ROUND(YP_預け金管理表[[#This Row],[出金額（元）]]*YP_預け金管理表[[#This Row],[為替レート]],0)</f>
        <v>#REF!</v>
      </c>
    </row>
    <row r="27" spans="1:13" x14ac:dyDescent="0.55000000000000004">
      <c r="A27">
        <v>26</v>
      </c>
      <c r="B27" s="1">
        <v>44887</v>
      </c>
      <c r="C27" t="s">
        <v>43</v>
      </c>
      <c r="F27" s="8">
        <v>290</v>
      </c>
      <c r="G27" s="2">
        <f>IFERROR(G26-YP_預け金管理表[[#This Row],[出金額（元）]],-YP_預け金管理表[[#This Row],[出金額（元）]])</f>
        <v>6201.0724494825045</v>
      </c>
      <c r="H27" t="e" cm="1">
        <f t="array" ref="H27">SUMPRODUCT((#REF!&lt;=B27)*(#REF!&gt;=B27)*#REF!)</f>
        <v>#REF!</v>
      </c>
      <c r="I27" s="6" t="e">
        <f>YP_預け金管理表[[#This Row],[出金額（元）]]*YP_預け金管理表[[#This Row],[為替レート]]</f>
        <v>#REF!</v>
      </c>
      <c r="J27" s="2">
        <v>124617</v>
      </c>
      <c r="K27" s="9" t="e">
        <f>ROUND(YP_預け金管理表[[#This Row],[出金額（元）]]*YP_預け金管理表[[#This Row],[為替レート]],0)</f>
        <v>#REF!</v>
      </c>
      <c r="L27" s="9" t="e">
        <f>L26-YP_預け金管理表[[#This Row],[出金額（円）2]]</f>
        <v>#REF!</v>
      </c>
      <c r="M27" t="e">
        <f>ROUND(YP_預け金管理表[[#This Row],[出金額（元）]]*YP_預け金管理表[[#This Row],[為替レート]],0)</f>
        <v>#REF!</v>
      </c>
    </row>
    <row r="28" spans="1:13" x14ac:dyDescent="0.55000000000000004">
      <c r="A28">
        <v>27</v>
      </c>
      <c r="B28" s="1">
        <v>44887</v>
      </c>
      <c r="C28" t="s">
        <v>43</v>
      </c>
      <c r="F28" s="8">
        <v>24</v>
      </c>
      <c r="G28" s="2">
        <f>IFERROR(G27-YP_預け金管理表[[#This Row],[出金額（元）]],-YP_預け金管理表[[#This Row],[出金額（元）]])</f>
        <v>6177.0724494825045</v>
      </c>
      <c r="H28" t="e" cm="1">
        <f t="array" ref="H28">SUMPRODUCT((#REF!&lt;=B28)*(#REF!&gt;=B28)*#REF!)</f>
        <v>#REF!</v>
      </c>
      <c r="I28" s="6" t="e">
        <f>YP_預け金管理表[[#This Row],[出金額（元）]]*YP_預け金管理表[[#This Row],[為替レート]]</f>
        <v>#REF!</v>
      </c>
      <c r="J28" s="2">
        <v>124134</v>
      </c>
      <c r="K28" s="9" t="e">
        <f>ROUND(YP_預け金管理表[[#This Row],[出金額（元）]]*YP_預け金管理表[[#This Row],[為替レート]],0)</f>
        <v>#REF!</v>
      </c>
      <c r="L28" s="9" t="e">
        <f>L27-YP_預け金管理表[[#This Row],[出金額（円）2]]</f>
        <v>#REF!</v>
      </c>
      <c r="M28" t="e">
        <f>ROUND(YP_預け金管理表[[#This Row],[出金額（元）]]*YP_預け金管理表[[#This Row],[為替レート]],0)</f>
        <v>#REF!</v>
      </c>
    </row>
    <row r="29" spans="1:13" x14ac:dyDescent="0.55000000000000004">
      <c r="A29">
        <v>28</v>
      </c>
      <c r="B29" s="1">
        <v>44887</v>
      </c>
      <c r="C29" t="s">
        <v>43</v>
      </c>
      <c r="F29" s="8">
        <v>44</v>
      </c>
      <c r="G29" s="2">
        <f>IFERROR(G28-YP_預け金管理表[[#This Row],[出金額（元）]],-YP_預け金管理表[[#This Row],[出金額（元）]])</f>
        <v>6133.0724494825045</v>
      </c>
      <c r="H29" t="e" cm="1">
        <f t="array" ref="H29">SUMPRODUCT((#REF!&lt;=B29)*(#REF!&gt;=B29)*#REF!)</f>
        <v>#REF!</v>
      </c>
      <c r="I29" s="6" t="e">
        <f>YP_預け金管理表[[#This Row],[出金額（元）]]*YP_預け金管理表[[#This Row],[為替レート]]</f>
        <v>#REF!</v>
      </c>
      <c r="J29" s="2">
        <v>123249</v>
      </c>
      <c r="K29" s="9" t="e">
        <f>ROUND(YP_預け金管理表[[#This Row],[出金額（元）]]*YP_預け金管理表[[#This Row],[為替レート]],0)</f>
        <v>#REF!</v>
      </c>
      <c r="L29" s="9" t="e">
        <f>L28-YP_預け金管理表[[#This Row],[出金額（円）2]]</f>
        <v>#REF!</v>
      </c>
      <c r="M29" t="e">
        <f>ROUND(YP_預け金管理表[[#This Row],[出金額（元）]]*YP_預け金管理表[[#This Row],[為替レート]],0)</f>
        <v>#REF!</v>
      </c>
    </row>
    <row r="30" spans="1:13" x14ac:dyDescent="0.55000000000000004">
      <c r="A30">
        <v>29</v>
      </c>
      <c r="B30" s="1">
        <v>44887</v>
      </c>
      <c r="C30" t="s">
        <v>43</v>
      </c>
      <c r="F30" s="8">
        <v>306</v>
      </c>
      <c r="G30" s="2">
        <f>IFERROR(G29-YP_預け金管理表[[#This Row],[出金額（元）]],-YP_預け金管理表[[#This Row],[出金額（元）]])</f>
        <v>5827.0724494825045</v>
      </c>
      <c r="H30" t="e" cm="1">
        <f t="array" ref="H30">SUMPRODUCT((#REF!&lt;=B30)*(#REF!&gt;=B30)*#REF!)</f>
        <v>#REF!</v>
      </c>
      <c r="I30" s="6" t="e">
        <f>YP_預け金管理表[[#This Row],[出金額（元）]]*YP_預け金管理表[[#This Row],[為替レート]]</f>
        <v>#REF!</v>
      </c>
      <c r="J30" s="2">
        <v>117095</v>
      </c>
      <c r="K30" s="9" t="e">
        <f>ROUND(YP_預け金管理表[[#This Row],[出金額（元）]]*YP_預け金管理表[[#This Row],[為替レート]],0)</f>
        <v>#REF!</v>
      </c>
      <c r="L30" s="9" t="e">
        <f>L29-YP_預け金管理表[[#This Row],[出金額（円）2]]</f>
        <v>#REF!</v>
      </c>
      <c r="M30" t="e">
        <f>ROUND(YP_預け金管理表[[#This Row],[出金額（元）]]*YP_預け金管理表[[#This Row],[為替レート]],0)</f>
        <v>#REF!</v>
      </c>
    </row>
    <row r="31" spans="1:13" x14ac:dyDescent="0.55000000000000004">
      <c r="A31">
        <v>30</v>
      </c>
      <c r="B31" s="1">
        <v>44887</v>
      </c>
      <c r="C31" t="s">
        <v>43</v>
      </c>
      <c r="F31" s="8">
        <v>288</v>
      </c>
      <c r="G31" s="2">
        <f>IFERROR(G30-YP_預け金管理表[[#This Row],[出金額（元）]],-YP_預け金管理表[[#This Row],[出金額（元）]])</f>
        <v>5539.0724494825045</v>
      </c>
      <c r="H31" t="e" cm="1">
        <f t="array" ref="H31">SUMPRODUCT((#REF!&lt;=B31)*(#REF!&gt;=B31)*#REF!)</f>
        <v>#REF!</v>
      </c>
      <c r="I31" s="6" t="e">
        <f>YP_預け金管理表[[#This Row],[出金額（元）]]*YP_預け金管理表[[#This Row],[為替レート]]</f>
        <v>#REF!</v>
      </c>
      <c r="J31" s="2">
        <v>111304</v>
      </c>
      <c r="K31" s="9" t="e">
        <f>ROUND(YP_預け金管理表[[#This Row],[出金額（元）]]*YP_預け金管理表[[#This Row],[為替レート]],0)</f>
        <v>#REF!</v>
      </c>
      <c r="L31" s="9" t="e">
        <f>L30-YP_預け金管理表[[#This Row],[出金額（円）2]]</f>
        <v>#REF!</v>
      </c>
      <c r="M31" t="e">
        <f>ROUND(YP_預け金管理表[[#This Row],[出金額（元）]]*YP_預け金管理表[[#This Row],[為替レート]],0)</f>
        <v>#REF!</v>
      </c>
    </row>
    <row r="32" spans="1:13" x14ac:dyDescent="0.55000000000000004">
      <c r="A32">
        <v>31</v>
      </c>
      <c r="B32" s="1">
        <v>44887</v>
      </c>
      <c r="C32" t="s">
        <v>43</v>
      </c>
      <c r="F32" s="8">
        <v>134</v>
      </c>
      <c r="G32" s="2">
        <f>IFERROR(G31-YP_預け金管理表[[#This Row],[出金額（元）]],-YP_預け金管理表[[#This Row],[出金額（元）]])</f>
        <v>5405.0724494825045</v>
      </c>
      <c r="H32" t="e" cm="1">
        <f t="array" ref="H32">SUMPRODUCT((#REF!&lt;=B32)*(#REF!&gt;=B32)*#REF!)</f>
        <v>#REF!</v>
      </c>
      <c r="I32" s="6" t="e">
        <f>YP_預け金管理表[[#This Row],[出金額（元）]]*YP_預け金管理表[[#This Row],[為替レート]]</f>
        <v>#REF!</v>
      </c>
      <c r="J32" s="2">
        <v>108609</v>
      </c>
      <c r="K32" s="9" t="e">
        <f>ROUND(YP_預け金管理表[[#This Row],[出金額（元）]]*YP_預け金管理表[[#This Row],[為替レート]],0)</f>
        <v>#REF!</v>
      </c>
      <c r="L32" s="9" t="e">
        <f>L31-YP_預け金管理表[[#This Row],[出金額（円）2]]</f>
        <v>#REF!</v>
      </c>
      <c r="M32" t="e">
        <f>ROUND(YP_預け金管理表[[#This Row],[出金額（元）]]*YP_預け金管理表[[#This Row],[為替レート]],0)</f>
        <v>#REF!</v>
      </c>
    </row>
    <row r="33" spans="1:13" x14ac:dyDescent="0.55000000000000004">
      <c r="A33">
        <v>32</v>
      </c>
      <c r="B33" s="1">
        <v>44887</v>
      </c>
      <c r="C33" t="s">
        <v>43</v>
      </c>
      <c r="F33" s="8">
        <v>60</v>
      </c>
      <c r="G33" s="2">
        <f>IFERROR(G32-YP_預け金管理表[[#This Row],[出金額（元）]],-YP_預け金管理表[[#This Row],[出金額（元）]])</f>
        <v>5345.0724494825045</v>
      </c>
      <c r="H33" t="e" cm="1">
        <f t="array" ref="H33">SUMPRODUCT((#REF!&lt;=B33)*(#REF!&gt;=B33)*#REF!)</f>
        <v>#REF!</v>
      </c>
      <c r="I33" s="6" t="e">
        <f>YP_預け金管理表[[#This Row],[出金額（元）]]*YP_預け金管理表[[#This Row],[為替レート]]</f>
        <v>#REF!</v>
      </c>
      <c r="J33" s="2">
        <v>107402</v>
      </c>
      <c r="K33" s="9" t="e">
        <f>ROUND(YP_預け金管理表[[#This Row],[出金額（元）]]*YP_預け金管理表[[#This Row],[為替レート]],0)</f>
        <v>#REF!</v>
      </c>
      <c r="L33" s="9" t="e">
        <f>L32-YP_預け金管理表[[#This Row],[出金額（円）2]]</f>
        <v>#REF!</v>
      </c>
      <c r="M33" t="e">
        <f>ROUND(YP_預け金管理表[[#This Row],[出金額（元）]]*YP_預け金管理表[[#This Row],[為替レート]],0)</f>
        <v>#REF!</v>
      </c>
    </row>
    <row r="34" spans="1:13" x14ac:dyDescent="0.55000000000000004">
      <c r="A34">
        <v>33</v>
      </c>
      <c r="B34" s="1">
        <v>44887</v>
      </c>
      <c r="C34" t="s">
        <v>43</v>
      </c>
      <c r="F34" s="8">
        <v>38</v>
      </c>
      <c r="G34" s="2">
        <f>IFERROR(G33-YP_預け金管理表[[#This Row],[出金額（元）]],-YP_預け金管理表[[#This Row],[出金額（元）]])</f>
        <v>5307.0724494825045</v>
      </c>
      <c r="H34" t="e" cm="1">
        <f t="array" ref="H34">SUMPRODUCT((#REF!&lt;=B34)*(#REF!&gt;=B34)*#REF!)</f>
        <v>#REF!</v>
      </c>
      <c r="I34" s="6" t="e">
        <f>YP_預け金管理表[[#This Row],[出金額（元）]]*YP_預け金管理表[[#This Row],[為替レート]]</f>
        <v>#REF!</v>
      </c>
      <c r="J34" s="2">
        <v>106638</v>
      </c>
      <c r="K34" s="9" t="e">
        <f>ROUND(YP_預け金管理表[[#This Row],[出金額（元）]]*YP_預け金管理表[[#This Row],[為替レート]],0)</f>
        <v>#REF!</v>
      </c>
      <c r="L34" s="9" t="e">
        <f>L33-YP_預け金管理表[[#This Row],[出金額（円）2]]</f>
        <v>#REF!</v>
      </c>
      <c r="M34" t="e">
        <f>ROUND(YP_預け金管理表[[#This Row],[出金額（元）]]*YP_預け金管理表[[#This Row],[為替レート]],0)</f>
        <v>#REF!</v>
      </c>
    </row>
    <row r="35" spans="1:13" x14ac:dyDescent="0.55000000000000004">
      <c r="A35">
        <v>34</v>
      </c>
      <c r="B35" s="1">
        <v>44888</v>
      </c>
      <c r="C35" t="s">
        <v>43</v>
      </c>
      <c r="F35" s="8">
        <v>203</v>
      </c>
      <c r="G35" s="2">
        <f>IFERROR(G34-YP_預け金管理表[[#This Row],[出金額（元）]],-YP_預け金管理表[[#This Row],[出金額（元）]])</f>
        <v>5104.0724494825045</v>
      </c>
      <c r="H35" t="e" cm="1">
        <f t="array" ref="H35">SUMPRODUCT((#REF!&lt;=B35)*(#REF!&gt;=B35)*#REF!)</f>
        <v>#REF!</v>
      </c>
      <c r="I35" s="6" t="e">
        <f>YP_預け金管理表[[#This Row],[出金額（元）]]*YP_預け金管理表[[#This Row],[為替レート]]</f>
        <v>#REF!</v>
      </c>
      <c r="J35" s="2">
        <v>102556</v>
      </c>
      <c r="K35" s="9" t="e">
        <f>ROUND(YP_預け金管理表[[#This Row],[出金額（元）]]*YP_預け金管理表[[#This Row],[為替レート]],0)</f>
        <v>#REF!</v>
      </c>
      <c r="L35" s="9" t="e">
        <f>L34-YP_預け金管理表[[#This Row],[出金額（円）2]]</f>
        <v>#REF!</v>
      </c>
      <c r="M35" t="e">
        <f>ROUND(YP_預け金管理表[[#This Row],[出金額（元）]]*YP_預け金管理表[[#This Row],[為替レート]],0)</f>
        <v>#REF!</v>
      </c>
    </row>
    <row r="36" spans="1:13" x14ac:dyDescent="0.55000000000000004">
      <c r="A36">
        <v>35</v>
      </c>
      <c r="B36" s="1">
        <v>44902</v>
      </c>
      <c r="C36" t="s">
        <v>43</v>
      </c>
      <c r="D36" t="s">
        <v>48</v>
      </c>
      <c r="F36" s="8">
        <v>6</v>
      </c>
      <c r="G36" s="2">
        <f>IFERROR(G35-YP_預け金管理表[[#This Row],[出金額（元）]],-YP_預け金管理表[[#This Row],[出金額（元）]])</f>
        <v>5098.0724494825045</v>
      </c>
      <c r="H36" t="e" cm="1">
        <f t="array" ref="H36">SUMPRODUCT((#REF!&lt;=B36)*(#REF!&gt;=B36)*#REF!)</f>
        <v>#REF!</v>
      </c>
      <c r="I36" s="6" t="e">
        <f>YP_預け金管理表[[#This Row],[出金額（元）]]*YP_預け金管理表[[#This Row],[為替レート]]</f>
        <v>#REF!</v>
      </c>
      <c r="J36" s="2">
        <v>102438</v>
      </c>
      <c r="K36" s="9" t="e">
        <f>ROUND(YP_預け金管理表[[#This Row],[出金額（元）]]*YP_預け金管理表[[#This Row],[為替レート]],0)</f>
        <v>#REF!</v>
      </c>
      <c r="L36" s="9" t="e">
        <f>L35-YP_預け金管理表[[#This Row],[出金額（円）2]]</f>
        <v>#REF!</v>
      </c>
      <c r="M36" t="e">
        <f>ROUND(YP_預け金管理表[[#This Row],[出金額（元）]]*YP_預け金管理表[[#This Row],[為替レート]],0)</f>
        <v>#REF!</v>
      </c>
    </row>
    <row r="37" spans="1:13" x14ac:dyDescent="0.55000000000000004">
      <c r="A37">
        <v>36</v>
      </c>
      <c r="B37" s="1">
        <v>44908</v>
      </c>
      <c r="C37" t="s">
        <v>43</v>
      </c>
      <c r="D37" t="s">
        <v>49</v>
      </c>
      <c r="F37" s="8">
        <v>1120</v>
      </c>
      <c r="G37" s="2">
        <f>IFERROR(G36-YP_預け金管理表[[#This Row],[出金額（元）]],-YP_預け金管理表[[#This Row],[出金額（元）]])</f>
        <v>3978.0724494825045</v>
      </c>
      <c r="H37" t="e" cm="1">
        <f t="array" ref="H37">SUMPRODUCT((#REF!&lt;=B37)*(#REF!&gt;=B37)*#REF!)</f>
        <v>#REF!</v>
      </c>
      <c r="I37" s="6" t="e">
        <f>YP_預け金管理表[[#This Row],[出金額（元）]]*YP_預け金管理表[[#This Row],[為替レート]]</f>
        <v>#REF!</v>
      </c>
      <c r="J37" s="2">
        <v>80441</v>
      </c>
      <c r="K37" s="9" t="e">
        <f>ROUND(YP_預け金管理表[[#This Row],[出金額（元）]]*YP_預け金管理表[[#This Row],[為替レート]],0)</f>
        <v>#REF!</v>
      </c>
      <c r="L37" s="9" t="e">
        <f>L36-YP_預け金管理表[[#This Row],[出金額（円）2]]</f>
        <v>#REF!</v>
      </c>
      <c r="M37" t="e">
        <f>ROUND(YP_預け金管理表[[#This Row],[出金額（元）]]*YP_預け金管理表[[#This Row],[為替レート]],0)</f>
        <v>#REF!</v>
      </c>
    </row>
    <row r="38" spans="1:13" x14ac:dyDescent="0.55000000000000004">
      <c r="A38">
        <v>37</v>
      </c>
      <c r="B38" s="1">
        <v>44923</v>
      </c>
      <c r="C38" t="s">
        <v>50</v>
      </c>
      <c r="E38" t="s">
        <v>51</v>
      </c>
      <c r="F38" s="8">
        <v>552</v>
      </c>
      <c r="G38" s="2">
        <f>IFERROR(G37-YP_預け金管理表[[#This Row],[出金額（元）]],-YP_預け金管理表[[#This Row],[出金額（元）]])</f>
        <v>3426.0724494825045</v>
      </c>
      <c r="H38" t="e" cm="1">
        <f t="array" ref="H38">SUMPRODUCT((#REF!&lt;=B38)*(#REF!&gt;=B38)*#REF!)</f>
        <v>#REF!</v>
      </c>
      <c r="I38" s="6" t="e">
        <f>YP_預け金管理表[[#This Row],[出金額（元）]]*YP_預け金管理表[[#This Row],[為替レート]]</f>
        <v>#REF!</v>
      </c>
      <c r="J38" s="2">
        <v>69600</v>
      </c>
      <c r="K38" s="9" t="e">
        <f>ROUND(YP_預け金管理表[[#This Row],[出金額（元）]]*YP_預け金管理表[[#This Row],[為替レート]],0)</f>
        <v>#REF!</v>
      </c>
      <c r="L38" s="9" t="e">
        <f>L37-YP_預け金管理表[[#This Row],[出金額（円）2]]</f>
        <v>#REF!</v>
      </c>
      <c r="M38" t="e">
        <f>ROUND(YP_預け金管理表[[#This Row],[出金額（元）]]*YP_預け金管理表[[#This Row],[為替レート]],0)</f>
        <v>#REF!</v>
      </c>
    </row>
    <row r="39" spans="1:13" x14ac:dyDescent="0.55000000000000004">
      <c r="A39">
        <v>38</v>
      </c>
      <c r="B39" s="1">
        <v>44942</v>
      </c>
      <c r="C39" t="s">
        <v>52</v>
      </c>
      <c r="E39" t="s">
        <v>51</v>
      </c>
      <c r="F39" s="8">
        <v>175</v>
      </c>
      <c r="G39" s="2">
        <f>IFERROR(G38-YP_預け金管理表[[#This Row],[出金額（元）]],-YP_預け金管理表[[#This Row],[出金額（元）]])</f>
        <v>3251.0724494825045</v>
      </c>
      <c r="H39" t="e" cm="1">
        <f t="array" ref="H39">SUMPRODUCT((#REF!&lt;=B39)*(#REF!&gt;=B39)*#REF!)</f>
        <v>#REF!</v>
      </c>
      <c r="I39" s="6" t="e">
        <f>YP_預け金管理表[[#This Row],[出金額（元）]]*YP_預け金管理表[[#This Row],[為替レート]]</f>
        <v>#REF!</v>
      </c>
      <c r="J39" s="2">
        <v>66184</v>
      </c>
      <c r="K39" s="9" t="e">
        <f>ROUND(YP_預け金管理表[[#This Row],[出金額（元）]]*YP_預け金管理表[[#This Row],[為替レート]],0)</f>
        <v>#REF!</v>
      </c>
      <c r="L39" s="9" t="e">
        <f>L38-YP_預け金管理表[[#This Row],[出金額（円）2]]</f>
        <v>#REF!</v>
      </c>
      <c r="M39" t="e">
        <f>ROUND(YP_預け金管理表[[#This Row],[出金額（元）]]*YP_預け金管理表[[#This Row],[為替レート]],0)</f>
        <v>#REF!</v>
      </c>
    </row>
    <row r="40" spans="1:13" x14ac:dyDescent="0.55000000000000004">
      <c r="A40">
        <v>39</v>
      </c>
      <c r="B40" s="1">
        <v>44943</v>
      </c>
      <c r="C40" t="s">
        <v>15</v>
      </c>
      <c r="D40" t="s">
        <v>53</v>
      </c>
      <c r="E40" t="s">
        <v>51</v>
      </c>
      <c r="F40" s="8">
        <v>555</v>
      </c>
      <c r="G40" s="2">
        <f>IFERROR(G39-YP_預け金管理表[[#This Row],[出金額（元）]],-YP_預け金管理表[[#This Row],[出金額（元）]])</f>
        <v>2696.0724494825045</v>
      </c>
      <c r="H40" t="e" cm="1">
        <f t="array" ref="H40">SUMPRODUCT((#REF!&lt;=B40)*(#REF!&gt;=B40)*#REF!)</f>
        <v>#REF!</v>
      </c>
      <c r="I40" s="6" t="e">
        <f>YP_預け金管理表[[#This Row],[出金額（元）]]*YP_預け金管理表[[#This Row],[為替レート]]</f>
        <v>#REF!</v>
      </c>
      <c r="J40" s="2">
        <v>55350</v>
      </c>
      <c r="K40" s="9" t="e">
        <f>ROUND(YP_預け金管理表[[#This Row],[出金額（元）]]*YP_預け金管理表[[#This Row],[為替レート]],0)</f>
        <v>#REF!</v>
      </c>
      <c r="L40" s="9" t="e">
        <f>L39-YP_預け金管理表[[#This Row],[出金額（円）2]]</f>
        <v>#REF!</v>
      </c>
      <c r="M40" t="e">
        <f>ROUND(YP_預け金管理表[[#This Row],[出金額（元）]]*YP_預け金管理表[[#This Row],[為替レート]],0)</f>
        <v>#REF!</v>
      </c>
    </row>
    <row r="41" spans="1:13" x14ac:dyDescent="0.55000000000000004">
      <c r="A41">
        <v>40</v>
      </c>
      <c r="B41" s="1">
        <v>44986</v>
      </c>
      <c r="C41" t="s">
        <v>50</v>
      </c>
      <c r="E41" t="s">
        <v>54</v>
      </c>
      <c r="F41" s="8">
        <v>625</v>
      </c>
      <c r="G41" s="2">
        <f>IFERROR(G40-YP_預け金管理表[[#This Row],[出金額（元）]],-YP_預け金管理表[[#This Row],[出金額（元）]])</f>
        <v>2071.0724494825045</v>
      </c>
      <c r="H41" t="e" cm="1">
        <f t="array" ref="H41">SUMPRODUCT((#REF!&lt;=B41)*(#REF!&gt;=B41)*#REF!)</f>
        <v>#REF!</v>
      </c>
      <c r="I41" s="6" t="e">
        <f>YP_預け金管理表[[#This Row],[出金額（元）]]*YP_預け金管理表[[#This Row],[為替レート]]</f>
        <v>#REF!</v>
      </c>
      <c r="J41" s="2">
        <v>43038</v>
      </c>
      <c r="K41" s="9" t="e">
        <f>ROUND(YP_預け金管理表[[#This Row],[出金額（元）]]*YP_預け金管理表[[#This Row],[為替レート]],0)</f>
        <v>#REF!</v>
      </c>
      <c r="L41" s="9" t="e">
        <f>L40-YP_預け金管理表[[#This Row],[出金額（円）2]]</f>
        <v>#REF!</v>
      </c>
      <c r="M41" t="e">
        <f>ROUND(YP_預け金管理表[[#This Row],[出金額（元）]]*YP_預け金管理表[[#This Row],[為替レート]],0)</f>
        <v>#REF!</v>
      </c>
    </row>
    <row r="42" spans="1:13" x14ac:dyDescent="0.55000000000000004">
      <c r="A42">
        <v>41</v>
      </c>
      <c r="B42" s="1">
        <v>45013</v>
      </c>
      <c r="C42" t="s">
        <v>15</v>
      </c>
      <c r="D42" t="s">
        <v>55</v>
      </c>
      <c r="E42" t="s">
        <v>54</v>
      </c>
      <c r="F42" s="8">
        <v>595</v>
      </c>
      <c r="G42" s="2">
        <f>IFERROR(G41-YP_預け金管理表[[#This Row],[出金額（元）]],-YP_預け金管理表[[#This Row],[出金額（元）]])</f>
        <v>1476.0724494825045</v>
      </c>
      <c r="H42" t="e" cm="1">
        <f t="array" ref="H42">SUMPRODUCT((#REF!&lt;=B42)*(#REF!&gt;=B42)*#REF!)</f>
        <v>#REF!</v>
      </c>
      <c r="I42" s="6" t="e">
        <f>YP_預け金管理表[[#This Row],[出金額（元）]]*YP_預け金管理表[[#This Row],[為替レート]]</f>
        <v>#REF!</v>
      </c>
      <c r="J42" s="2">
        <v>31316</v>
      </c>
      <c r="K42" s="9" t="e">
        <f>ROUND(YP_預け金管理表[[#This Row],[出金額（元）]]*YP_預け金管理表[[#This Row],[為替レート]],0)</f>
        <v>#REF!</v>
      </c>
      <c r="L42" s="9" t="e">
        <f>L41-YP_預け金管理表[[#This Row],[出金額（円）2]]</f>
        <v>#REF!</v>
      </c>
      <c r="M42" t="e">
        <f>ROUND(YP_預け金管理表[[#This Row],[出金額（元）]]*YP_預け金管理表[[#This Row],[為替レート]],0)</f>
        <v>#REF!</v>
      </c>
    </row>
    <row r="43" spans="1:13" x14ac:dyDescent="0.55000000000000004">
      <c r="A43">
        <v>42</v>
      </c>
      <c r="B43" s="1">
        <v>45015</v>
      </c>
      <c r="C43" t="s">
        <v>56</v>
      </c>
      <c r="D43" t="s">
        <v>57</v>
      </c>
      <c r="E43" t="s">
        <v>54</v>
      </c>
      <c r="F43" s="8">
        <v>40</v>
      </c>
      <c r="G43" s="2">
        <f>IFERROR(G42-YP_預け金管理表[[#This Row],[出金額（元）]],-YP_預け金管理表[[#This Row],[出金額（元）]])</f>
        <v>1436.0724494825045</v>
      </c>
      <c r="H43" t="e" cm="1">
        <f t="array" ref="H43">SUMPRODUCT((#REF!&lt;=B43)*(#REF!&gt;=B43)*#REF!)</f>
        <v>#REF!</v>
      </c>
      <c r="I43" s="6" t="e">
        <f>YP_預け金管理表[[#This Row],[出金額（元）]]*YP_預け金管理表[[#This Row],[為替レート]]</f>
        <v>#REF!</v>
      </c>
      <c r="J43" s="2">
        <v>30528</v>
      </c>
      <c r="K43" s="9" t="e">
        <f>ROUND(YP_預け金管理表[[#This Row],[出金額（元）]]*YP_預け金管理表[[#This Row],[為替レート]],0)</f>
        <v>#REF!</v>
      </c>
      <c r="L43" s="9" t="e">
        <f>L42-YP_預け金管理表[[#This Row],[出金額（円）2]]</f>
        <v>#REF!</v>
      </c>
      <c r="M43" t="e">
        <f>ROUND(YP_預け金管理表[[#This Row],[出金額（元）]]*YP_預け金管理表[[#This Row],[為替レート]],0)</f>
        <v>#REF!</v>
      </c>
    </row>
    <row r="44" spans="1:13" x14ac:dyDescent="0.55000000000000004">
      <c r="A44">
        <v>43</v>
      </c>
      <c r="B44" s="1">
        <v>45015</v>
      </c>
      <c r="C44" t="s">
        <v>52</v>
      </c>
      <c r="D44" t="s">
        <v>58</v>
      </c>
      <c r="E44" t="s">
        <v>54</v>
      </c>
      <c r="F44" s="8">
        <v>200</v>
      </c>
      <c r="G44" s="2">
        <f>IFERROR(G43-YP_預け金管理表[[#This Row],[出金額（元）]],-YP_預け金管理表[[#This Row],[出金額（元）]])</f>
        <v>1236.0724494825045</v>
      </c>
      <c r="H44" t="e" cm="1">
        <f t="array" ref="H44">SUMPRODUCT((#REF!&lt;=B44)*(#REF!&gt;=B44)*#REF!)</f>
        <v>#REF!</v>
      </c>
      <c r="I44" s="6" t="e">
        <f>YP_預け金管理表[[#This Row],[出金額（元）]]*YP_預け金管理表[[#This Row],[為替レート]]</f>
        <v>#REF!</v>
      </c>
      <c r="J44" s="2">
        <v>26588</v>
      </c>
      <c r="K44" s="9" t="e">
        <f>ROUND(YP_預け金管理表[[#This Row],[出金額（元）]]*YP_預け金管理表[[#This Row],[為替レート]],0)</f>
        <v>#REF!</v>
      </c>
      <c r="L44" s="9" t="e">
        <f>L43-YP_預け金管理表[[#This Row],[出金額（円）2]]</f>
        <v>#REF!</v>
      </c>
      <c r="M44" t="e">
        <f>ROUND(YP_預け金管理表[[#This Row],[出金額（元）]]*YP_預け金管理表[[#This Row],[為替レート]],0)</f>
        <v>#REF!</v>
      </c>
    </row>
    <row r="45" spans="1:13" x14ac:dyDescent="0.55000000000000004">
      <c r="A45">
        <v>44</v>
      </c>
      <c r="B45" s="1">
        <v>45022</v>
      </c>
      <c r="C45" t="s">
        <v>50</v>
      </c>
      <c r="E45" t="s">
        <v>59</v>
      </c>
      <c r="F45" s="8">
        <v>143</v>
      </c>
      <c r="G45" s="2">
        <f>IFERROR(G44-YP_預け金管理表[[#This Row],[出金額（元）]],-YP_預け金管理表[[#This Row],[出金額（元）]])</f>
        <v>1093.0724494825045</v>
      </c>
      <c r="H45" t="e" cm="1">
        <f t="array" ref="H45">SUMPRODUCT((#REF!&lt;=B45)*(#REF!&gt;=B45)*#REF!)</f>
        <v>#REF!</v>
      </c>
      <c r="I45" s="6" t="e">
        <f>YP_預け金管理表[[#This Row],[出金額（元）]]*YP_預け金管理表[[#This Row],[為替レート]]</f>
        <v>#REF!</v>
      </c>
      <c r="J45" s="2">
        <v>23777</v>
      </c>
      <c r="K45" s="9" t="e">
        <f>ROUND(YP_預け金管理表[[#This Row],[出金額（元）]]*YP_預け金管理表[[#This Row],[為替レート]],0)</f>
        <v>#REF!</v>
      </c>
      <c r="L45" s="9" t="e">
        <f>L44-YP_預け金管理表[[#This Row],[出金額（円）2]]</f>
        <v>#REF!</v>
      </c>
      <c r="M45" t="e">
        <f>ROUND(YP_預け金管理表[[#This Row],[出金額（元）]]*YP_預け金管理表[[#This Row],[為替レート]],0)</f>
        <v>#REF!</v>
      </c>
    </row>
    <row r="46" spans="1:13" x14ac:dyDescent="0.55000000000000004">
      <c r="A46">
        <v>45</v>
      </c>
      <c r="B46" s="1">
        <v>45029</v>
      </c>
      <c r="C46" t="s">
        <v>14</v>
      </c>
      <c r="F46" s="8">
        <f>-400000/19.66</f>
        <v>-20345.87995930824</v>
      </c>
      <c r="G46" s="2">
        <f>IFERROR(G45-YP_預け金管理表[[#This Row],[出金額（元）]],-YP_預け金管理表[[#This Row],[出金額（元）]])</f>
        <v>21438.952408790745</v>
      </c>
      <c r="H46" t="e" cm="1">
        <f t="array" ref="H46">SUMPRODUCT((#REF!&lt;=B46)*(#REF!&gt;=B46)*#REF!)</f>
        <v>#REF!</v>
      </c>
      <c r="I46" s="6" t="e">
        <f>YP_預け金管理表[[#This Row],[出金額（元）]]*YP_預け金管理表[[#This Row],[為替レート]]</f>
        <v>#REF!</v>
      </c>
      <c r="J46" s="2">
        <v>423777</v>
      </c>
      <c r="K46" s="9" t="e">
        <f>ROUND(YP_預け金管理表[[#This Row],[出金額（元）]]*YP_預け金管理表[[#This Row],[為替レート]],0)</f>
        <v>#REF!</v>
      </c>
      <c r="L46" s="9" t="e">
        <f>L45-YP_預け金管理表[[#This Row],[出金額（円）2]]</f>
        <v>#REF!</v>
      </c>
      <c r="M46" t="e">
        <f>ROUND(YP_預け金管理表[[#This Row],[出金額（元）]]*YP_預け金管理表[[#This Row],[為替レート]],0)</f>
        <v>#REF!</v>
      </c>
    </row>
    <row r="47" spans="1:13" x14ac:dyDescent="0.55000000000000004">
      <c r="A47">
        <v>46</v>
      </c>
      <c r="B47" s="1">
        <v>45034</v>
      </c>
      <c r="C47" t="s">
        <v>50</v>
      </c>
      <c r="E47" t="s">
        <v>59</v>
      </c>
      <c r="F47" s="8">
        <v>10000</v>
      </c>
      <c r="G47" s="2">
        <f>IFERROR(G46-YP_預け金管理表[[#This Row],[出金額（元）]],-YP_預け金管理表[[#This Row],[出金額（元）]])</f>
        <v>11438.952408790745</v>
      </c>
      <c r="H47" t="e" cm="1">
        <f t="array" ref="H47">SUMPRODUCT((#REF!&lt;=B47)*(#REF!&gt;=B47)*#REF!)</f>
        <v>#REF!</v>
      </c>
      <c r="I47" s="6" t="e">
        <f>YP_預け金管理表[[#This Row],[出金額（元）]]*YP_預け金管理表[[#This Row],[為替レート]]</f>
        <v>#REF!</v>
      </c>
      <c r="J47" s="2">
        <v>227177</v>
      </c>
      <c r="K47" s="9" t="e">
        <f>ROUND(YP_預け金管理表[[#This Row],[出金額（元）]]*YP_預け金管理表[[#This Row],[為替レート]],0)</f>
        <v>#REF!</v>
      </c>
      <c r="L47" s="9" t="e">
        <f>L46-YP_預け金管理表[[#This Row],[出金額（円）2]]</f>
        <v>#REF!</v>
      </c>
      <c r="M47" t="e">
        <f>ROUND(YP_預け金管理表[[#This Row],[出金額（元）]]*YP_預け金管理表[[#This Row],[為替レート]],0)</f>
        <v>#REF!</v>
      </c>
    </row>
    <row r="48" spans="1:13" x14ac:dyDescent="0.55000000000000004">
      <c r="A48">
        <v>47</v>
      </c>
      <c r="B48" s="1">
        <v>45068</v>
      </c>
      <c r="C48" t="s">
        <v>60</v>
      </c>
      <c r="D48" t="s">
        <v>61</v>
      </c>
      <c r="E48" t="s">
        <v>59</v>
      </c>
      <c r="F48" s="8">
        <v>65</v>
      </c>
      <c r="G48" s="2">
        <f>IFERROR(G47-YP_預け金管理表[[#This Row],[出金額（元）]],-YP_預け金管理表[[#This Row],[出金額（元）]])</f>
        <v>11373.952408790745</v>
      </c>
      <c r="H48" t="e" cm="1">
        <f t="array" ref="H48">SUMPRODUCT((#REF!&lt;=B48)*(#REF!&gt;=B48)*#REF!)</f>
        <v>#REF!</v>
      </c>
      <c r="I48" s="6" t="e">
        <f>YP_預け金管理表[[#This Row],[出金額（元）]]*YP_預け金管理表[[#This Row],[為替レート]]</f>
        <v>#REF!</v>
      </c>
      <c r="J48" s="2">
        <v>225882</v>
      </c>
      <c r="K48" s="9" t="e">
        <f>ROUND(YP_預け金管理表[[#This Row],[出金額（元）]]*YP_預け金管理表[[#This Row],[為替レート]],0)</f>
        <v>#REF!</v>
      </c>
      <c r="L48" s="9" t="e">
        <f>L47-YP_預け金管理表[[#This Row],[出金額（円）2]]</f>
        <v>#REF!</v>
      </c>
      <c r="M48" t="e">
        <f>ROUND(YP_預け金管理表[[#This Row],[出金額（元）]]*YP_預け金管理表[[#This Row],[為替レート]],0)</f>
        <v>#REF!</v>
      </c>
    </row>
    <row r="49" spans="1:13" x14ac:dyDescent="0.55000000000000004">
      <c r="A49">
        <v>48</v>
      </c>
      <c r="B49" s="1">
        <v>45068</v>
      </c>
      <c r="C49" t="s">
        <v>15</v>
      </c>
      <c r="D49" t="s">
        <v>62</v>
      </c>
      <c r="E49" t="s">
        <v>59</v>
      </c>
      <c r="F49" s="8">
        <v>1664</v>
      </c>
      <c r="G49" s="2">
        <f>IFERROR(G48-YP_預け金管理表[[#This Row],[出金額（元）]],-YP_預け金管理表[[#This Row],[出金額（元）]])</f>
        <v>9709.9524087907448</v>
      </c>
      <c r="H49" t="e" cm="1">
        <f t="array" ref="H49">SUMPRODUCT((#REF!&lt;=B49)*(#REF!&gt;=B49)*#REF!)</f>
        <v>#REF!</v>
      </c>
      <c r="I49" s="6" t="e">
        <f>YP_預け金管理表[[#This Row],[出金額（元）]]*YP_預け金管理表[[#This Row],[為替レート]]</f>
        <v>#REF!</v>
      </c>
      <c r="J49" s="2">
        <v>192735</v>
      </c>
      <c r="K49" s="9" t="e">
        <f>ROUND(YP_預け金管理表[[#This Row],[出金額（元）]]*YP_預け金管理表[[#This Row],[為替レート]],0)</f>
        <v>#REF!</v>
      </c>
      <c r="L49" s="9" t="e">
        <f>L48-YP_預け金管理表[[#This Row],[出金額（円）2]]</f>
        <v>#REF!</v>
      </c>
      <c r="M49" t="e">
        <f>ROUND(YP_預け金管理表[[#This Row],[出金額（元）]]*YP_預け金管理表[[#This Row],[為替レート]],0)</f>
        <v>#REF!</v>
      </c>
    </row>
    <row r="50" spans="1:13" x14ac:dyDescent="0.55000000000000004">
      <c r="A50">
        <v>49</v>
      </c>
      <c r="B50" s="1">
        <v>45069</v>
      </c>
      <c r="C50" t="s">
        <v>50</v>
      </c>
      <c r="D50" t="s">
        <v>63</v>
      </c>
      <c r="E50" t="s">
        <v>59</v>
      </c>
      <c r="F50" s="8">
        <v>-1536</v>
      </c>
      <c r="G50" s="2">
        <f>IFERROR(G49-YP_預け金管理表[[#This Row],[出金額（元）]],-YP_預け金管理表[[#This Row],[出金額（元）]])</f>
        <v>11245.952408790745</v>
      </c>
      <c r="H50" t="e" cm="1">
        <f t="array" ref="H50">SUMPRODUCT((#REF!&lt;=B50)*(#REF!&gt;=B50)*#REF!)</f>
        <v>#REF!</v>
      </c>
      <c r="I50" s="6" t="e">
        <f>YP_預け金管理表[[#This Row],[出金額（元）]]*YP_預け金管理表[[#This Row],[為替レート]]</f>
        <v>#REF!</v>
      </c>
      <c r="J50" s="2">
        <v>223332</v>
      </c>
      <c r="K50" s="9" t="e">
        <f>ROUND(YP_預け金管理表[[#This Row],[出金額（元）]]*YP_預け金管理表[[#This Row],[為替レート]],0)</f>
        <v>#REF!</v>
      </c>
      <c r="L50" s="9" t="e">
        <f>L49-YP_預け金管理表[[#This Row],[出金額（円）2]]</f>
        <v>#REF!</v>
      </c>
      <c r="M50" t="e">
        <f>ROUND(YP_預け金管理表[[#This Row],[出金額（元）]]*YP_預け金管理表[[#This Row],[為替レート]],0)</f>
        <v>#REF!</v>
      </c>
    </row>
    <row r="51" spans="1:13" x14ac:dyDescent="0.55000000000000004">
      <c r="A51">
        <v>50</v>
      </c>
      <c r="B51" s="1">
        <v>45071</v>
      </c>
      <c r="C51" t="s">
        <v>52</v>
      </c>
      <c r="D51" t="s">
        <v>64</v>
      </c>
      <c r="E51" t="s">
        <v>59</v>
      </c>
      <c r="F51" s="8">
        <v>450</v>
      </c>
      <c r="G51" s="2">
        <f>IFERROR(G50-YP_預け金管理表[[#This Row],[出金額（元）]],-YP_預け金管理表[[#This Row],[出金額（元）]])</f>
        <v>10795.952408790745</v>
      </c>
      <c r="H51" t="e" cm="1">
        <f t="array" ref="H51">SUMPRODUCT((#REF!&lt;=B51)*(#REF!&gt;=B51)*#REF!)</f>
        <v>#REF!</v>
      </c>
      <c r="I51" s="6" t="e">
        <f>YP_預け金管理表[[#This Row],[出金額（元）]]*YP_預け金管理表[[#This Row],[為替レート]]</f>
        <v>#REF!</v>
      </c>
      <c r="J51" s="2">
        <v>214368</v>
      </c>
      <c r="K51" s="9" t="e">
        <f>ROUND(YP_預け金管理表[[#This Row],[出金額（元）]]*YP_預け金管理表[[#This Row],[為替レート]],0)</f>
        <v>#REF!</v>
      </c>
      <c r="L51" s="9" t="e">
        <f>L50-YP_預け金管理表[[#This Row],[出金額（円）2]]</f>
        <v>#REF!</v>
      </c>
      <c r="M51" t="e">
        <f>ROUND(YP_預け金管理表[[#This Row],[出金額（元）]]*YP_預け金管理表[[#This Row],[為替レート]],0)</f>
        <v>#REF!</v>
      </c>
    </row>
    <row r="52" spans="1:13" x14ac:dyDescent="0.55000000000000004">
      <c r="A52">
        <v>51</v>
      </c>
      <c r="B52" s="1">
        <v>45071</v>
      </c>
      <c r="C52" t="s">
        <v>56</v>
      </c>
      <c r="D52" t="s">
        <v>65</v>
      </c>
      <c r="E52" t="s">
        <v>59</v>
      </c>
      <c r="F52" s="8">
        <v>15</v>
      </c>
      <c r="G52" s="2">
        <f>IFERROR(G51-YP_預け金管理表[[#This Row],[出金額（元）]],-YP_預け金管理表[[#This Row],[出金額（元）]])</f>
        <v>10780.952408790745</v>
      </c>
      <c r="H52" t="e" cm="1">
        <f t="array" ref="H52">SUMPRODUCT((#REF!&lt;=B52)*(#REF!&gt;=B52)*#REF!)</f>
        <v>#REF!</v>
      </c>
      <c r="I52" s="6" t="e">
        <f>YP_預け金管理表[[#This Row],[出金額（元）]]*YP_預け金管理表[[#This Row],[為替レート]]</f>
        <v>#REF!</v>
      </c>
      <c r="J52" s="2">
        <v>214070</v>
      </c>
      <c r="K52" s="9" t="e">
        <f>ROUND(YP_預け金管理表[[#This Row],[出金額（元）]]*YP_預け金管理表[[#This Row],[為替レート]],0)</f>
        <v>#REF!</v>
      </c>
      <c r="L52" s="9" t="e">
        <f>L51-YP_預け金管理表[[#This Row],[出金額（円）2]]</f>
        <v>#REF!</v>
      </c>
      <c r="M52" t="e">
        <f>ROUND(YP_預け金管理表[[#This Row],[出金額（元）]]*YP_預け金管理表[[#This Row],[為替レート]],0)</f>
        <v>#REF!</v>
      </c>
    </row>
    <row r="53" spans="1:13" x14ac:dyDescent="0.55000000000000004">
      <c r="A53">
        <v>52</v>
      </c>
      <c r="B53" s="1">
        <v>45098</v>
      </c>
      <c r="C53" t="s">
        <v>36</v>
      </c>
      <c r="F53" s="8">
        <f>189692/20</f>
        <v>9484.6</v>
      </c>
      <c r="G53" s="2">
        <f>IFERROR(G52-YP_預け金管理表[[#This Row],[出金額（元）]],-YP_預け金管理表[[#This Row],[出金額（元）]])</f>
        <v>1296.3524087907444</v>
      </c>
      <c r="H53" t="e" cm="1">
        <f t="array" ref="H53">SUMPRODUCT((#REF!&lt;=B53)*(#REF!&gt;=B53)*#REF!)</f>
        <v>#REF!</v>
      </c>
      <c r="I53" s="6" t="e">
        <f>YP_預け金管理表[[#This Row],[出金額（元）]]*YP_預け金管理表[[#This Row],[為替レート]]</f>
        <v>#REF!</v>
      </c>
      <c r="J53" s="2">
        <v>24378</v>
      </c>
      <c r="K53" s="9" t="e">
        <f>ROUND(YP_預け金管理表[[#This Row],[出金額（元）]]*YP_預け金管理表[[#This Row],[為替レート]],0)</f>
        <v>#REF!</v>
      </c>
      <c r="L53" s="9" t="e">
        <f>L52-YP_預け金管理表[[#This Row],[出金額（円）2]]</f>
        <v>#REF!</v>
      </c>
      <c r="M53" t="e">
        <f>ROUND(YP_預け金管理表[[#This Row],[出金額（元）]]*YP_預け金管理表[[#This Row],[為替レート]],0)</f>
        <v>#REF!</v>
      </c>
    </row>
    <row r="54" spans="1:13" x14ac:dyDescent="0.55000000000000004">
      <c r="A54">
        <v>53</v>
      </c>
      <c r="B54" s="1">
        <v>45098</v>
      </c>
      <c r="C54" t="s">
        <v>37</v>
      </c>
      <c r="D54" t="s">
        <v>66</v>
      </c>
      <c r="F54" s="8">
        <v>1219</v>
      </c>
      <c r="G54" s="2">
        <f>IFERROR(G53-YP_預け金管理表[[#This Row],[出金額（元）]],-YP_預け金管理表[[#This Row],[出金額（元）]])</f>
        <v>77.352408790744448</v>
      </c>
      <c r="H54" t="e" cm="1">
        <f t="array" ref="H54">SUMPRODUCT((#REF!&lt;=B54)*(#REF!&gt;=B54)*#REF!)</f>
        <v>#REF!</v>
      </c>
      <c r="I54" s="6" t="e">
        <f>YP_預け金管理表[[#This Row],[出金額（元）]]*YP_預け金管理表[[#This Row],[為替レート]]</f>
        <v>#REF!</v>
      </c>
      <c r="J54">
        <v>0</v>
      </c>
      <c r="K54" s="9" t="e">
        <f>ROUND(YP_預け金管理表[[#This Row],[出金額（元）]]*YP_預け金管理表[[#This Row],[為替レート]],0)</f>
        <v>#REF!</v>
      </c>
      <c r="L54" s="9" t="e">
        <f>L53-YP_預け金管理表[[#This Row],[出金額（円）2]]</f>
        <v>#REF!</v>
      </c>
      <c r="M54" t="e">
        <f>ROUND(YP_預け金管理表[[#This Row],[出金額（元）]]*YP_預け金管理表[[#This Row],[為替レート]],0)</f>
        <v>#REF!</v>
      </c>
    </row>
  </sheetData>
  <phoneticPr fontId="18"/>
  <pageMargins left="0.7" right="0.7" top="0.75" bottom="0.75" header="0.3" footer="0.3"/>
  <pageSetup paperSize="9" scale="99" fitToHeight="0" orientation="landscape" horizontalDpi="4294967293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FDA69-21D6-4519-8482-5C6E502B521B}">
  <sheetPr>
    <pageSetUpPr fitToPage="1"/>
  </sheetPr>
  <dimension ref="A1:J4"/>
  <sheetViews>
    <sheetView workbookViewId="0">
      <selection activeCell="G25" sqref="G25"/>
    </sheetView>
  </sheetViews>
  <sheetFormatPr defaultRowHeight="18" x14ac:dyDescent="0.55000000000000004"/>
  <cols>
    <col min="2" max="2" width="13.25" customWidth="1"/>
    <col min="3" max="3" width="9.83203125" customWidth="1"/>
    <col min="6" max="6" width="13.58203125" customWidth="1"/>
    <col min="7" max="8" width="11.75" customWidth="1"/>
    <col min="9" max="9" width="13.58203125" customWidth="1"/>
    <col min="10" max="10" width="11.75" customWidth="1"/>
  </cols>
  <sheetData>
    <row r="1" spans="1:10" x14ac:dyDescent="0.55000000000000004">
      <c r="A1" t="s">
        <v>10</v>
      </c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11</v>
      </c>
      <c r="H1" t="s">
        <v>12</v>
      </c>
      <c r="I1" t="s">
        <v>35</v>
      </c>
      <c r="J1" t="s">
        <v>13</v>
      </c>
    </row>
    <row r="2" spans="1:10" x14ac:dyDescent="0.55000000000000004">
      <c r="A2">
        <v>1</v>
      </c>
      <c r="B2" s="1">
        <v>45074</v>
      </c>
      <c r="C2" t="s">
        <v>14</v>
      </c>
      <c r="F2" s="3">
        <f>-300000/19.92</f>
        <v>-15060.24096385542</v>
      </c>
      <c r="G2" s="3">
        <f>IFERROR(G1-直行便_預け金管理表[[#This Row],[出金額（元）]],-直行便_預け金管理表[[#This Row],[出金額（元）]])</f>
        <v>15060.24096385542</v>
      </c>
      <c r="H2" s="4" t="e" cm="1">
        <f t="array" ref="H2">SUMPRODUCT((#REF!&lt;=B2)*(#REF!&gt;=B2)*#REF!)</f>
        <v>#REF!</v>
      </c>
      <c r="I2" s="3" t="e">
        <f>直行便_預け金管理表[[#This Row],[出金額（元）]]*直行便_預け金管理表[[#This Row],[為替レート]]</f>
        <v>#REF!</v>
      </c>
      <c r="J2" s="3" t="e">
        <f>IFERROR(J1-直行便_預け金管理表[[#This Row],[出金額（円）]],-直行便_預け金管理表[[#This Row],[出金額（円）]])</f>
        <v>#REF!</v>
      </c>
    </row>
    <row r="3" spans="1:10" x14ac:dyDescent="0.55000000000000004">
      <c r="A3">
        <v>2</v>
      </c>
      <c r="B3" s="1">
        <v>45176</v>
      </c>
      <c r="C3" t="s">
        <v>36</v>
      </c>
      <c r="F3" s="3">
        <f>285275/20.53</f>
        <v>13895.518753044325</v>
      </c>
      <c r="G3" s="3">
        <f>IFERROR(G2-直行便_預け金管理表[[#This Row],[出金額（元）]],-直行便_預け金管理表[[#This Row],[出金額（元）]])</f>
        <v>1164.7222108110946</v>
      </c>
      <c r="H3" s="4" t="e" cm="1">
        <f t="array" ref="H3">SUMPRODUCT((#REF!&lt;=B3)*(#REF!&gt;=B3)*#REF!)</f>
        <v>#REF!</v>
      </c>
      <c r="I3" s="3" t="e">
        <f>直行便_預け金管理表[[#This Row],[出金額（元）]]*直行便_預け金管理表[[#This Row],[為替レート]]</f>
        <v>#REF!</v>
      </c>
      <c r="J3" s="3" t="e">
        <f>IFERROR(J2-直行便_預け金管理表[[#This Row],[出金額（円）]],-直行便_預け金管理表[[#This Row],[出金額（円）]])</f>
        <v>#REF!</v>
      </c>
    </row>
    <row r="4" spans="1:10" x14ac:dyDescent="0.55000000000000004">
      <c r="A4">
        <v>3</v>
      </c>
      <c r="B4" s="1">
        <v>45176</v>
      </c>
      <c r="C4" t="s">
        <v>37</v>
      </c>
      <c r="F4" s="3">
        <f>14725/20.53</f>
        <v>717.24305893813926</v>
      </c>
      <c r="G4" s="3">
        <f>IFERROR(G3-直行便_預け金管理表[[#This Row],[出金額（元）]],-直行便_預け金管理表[[#This Row],[出金額（元）]])</f>
        <v>447.4791518729553</v>
      </c>
      <c r="H4" s="4" t="e" cm="1">
        <f t="array" ref="H4">SUMPRODUCT((#REF!&lt;=B4)*(#REF!&gt;=B4)*#REF!)</f>
        <v>#REF!</v>
      </c>
      <c r="I4" s="3" t="e">
        <f>直行便_預け金管理表[[#This Row],[出金額（元）]]*直行便_預け金管理表[[#This Row],[為替レート]]</f>
        <v>#REF!</v>
      </c>
      <c r="J4" s="3" t="e">
        <f>IFERROR(J3-直行便_預け金管理表[[#This Row],[出金額（円）]],-直行便_預け金管理表[[#This Row],[出金額（円）]])</f>
        <v>#REF!</v>
      </c>
    </row>
  </sheetData>
  <phoneticPr fontId="18"/>
  <pageMargins left="0.7" right="0.7" top="0.75" bottom="0.75" header="0.3" footer="0.3"/>
  <pageSetup paperSize="9" scale="87" fitToHeight="0" orientation="landscape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B20E4-C071-4DEB-A183-00CCE712EF49}">
  <dimension ref="A1:F5"/>
  <sheetViews>
    <sheetView workbookViewId="0"/>
  </sheetViews>
  <sheetFormatPr defaultRowHeight="18" x14ac:dyDescent="0.55000000000000004"/>
  <sheetData>
    <row r="1" spans="1:6" x14ac:dyDescent="0.55000000000000004">
      <c r="A1" s="7" t="s">
        <v>67</v>
      </c>
      <c r="B1" s="7" t="s">
        <v>68</v>
      </c>
      <c r="C1" s="7" t="s">
        <v>69</v>
      </c>
      <c r="D1" s="7" t="s">
        <v>70</v>
      </c>
      <c r="E1" s="7" t="s">
        <v>71</v>
      </c>
      <c r="F1" s="7" t="s">
        <v>72</v>
      </c>
    </row>
    <row r="2" spans="1:6" x14ac:dyDescent="0.55000000000000004">
      <c r="A2">
        <v>1</v>
      </c>
      <c r="B2" s="1">
        <v>46059</v>
      </c>
      <c r="C2" t="s">
        <v>73</v>
      </c>
      <c r="D2" t="s">
        <v>74</v>
      </c>
      <c r="E2" t="s">
        <v>75</v>
      </c>
      <c r="F2" t="s">
        <v>76</v>
      </c>
    </row>
    <row r="3" spans="1:6" x14ac:dyDescent="0.55000000000000004">
      <c r="A3">
        <v>3</v>
      </c>
      <c r="B3" s="1">
        <v>46059</v>
      </c>
      <c r="C3" t="s">
        <v>479</v>
      </c>
      <c r="D3" t="s">
        <v>480</v>
      </c>
      <c r="E3" t="s">
        <v>481</v>
      </c>
      <c r="F3" t="s">
        <v>482</v>
      </c>
    </row>
    <row r="4" spans="1:6" x14ac:dyDescent="0.55000000000000004">
      <c r="A4">
        <v>4</v>
      </c>
      <c r="B4" s="1">
        <v>46059</v>
      </c>
      <c r="C4" t="s">
        <v>483</v>
      </c>
      <c r="D4" t="s">
        <v>484</v>
      </c>
      <c r="E4" t="s">
        <v>485</v>
      </c>
      <c r="F4" t="s">
        <v>486</v>
      </c>
    </row>
    <row r="5" spans="1:6" x14ac:dyDescent="0.55000000000000004">
      <c r="A5">
        <v>5</v>
      </c>
      <c r="B5" s="1">
        <v>46059</v>
      </c>
      <c r="C5" t="s">
        <v>488</v>
      </c>
      <c r="D5" t="s">
        <v>489</v>
      </c>
      <c r="E5" t="s">
        <v>490</v>
      </c>
      <c r="F5" t="s">
        <v>491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freee勘定科目</vt:lpstr>
      <vt:lpstr>freee支出取引サンプル</vt:lpstr>
      <vt:lpstr>代行会社現預金</vt:lpstr>
      <vt:lpstr>YP</vt:lpstr>
      <vt:lpstr>直行便</vt:lpstr>
      <vt:lpstr>Claude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大仁皓平</cp:lastModifiedBy>
  <dcterms:created xsi:type="dcterms:W3CDTF">2024-09-29T21:26:58Z</dcterms:created>
  <dcterms:modified xsi:type="dcterms:W3CDTF">2026-02-06T15:43:21Z</dcterms:modified>
</cp:coreProperties>
</file>